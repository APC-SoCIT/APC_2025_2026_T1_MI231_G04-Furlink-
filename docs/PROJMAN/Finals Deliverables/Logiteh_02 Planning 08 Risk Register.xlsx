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showInkAnnotation="0"/>
  <mc:AlternateContent xmlns:mc="http://schemas.openxmlformats.org/markup-compatibility/2006">
    <mc:Choice Requires="x15">
      <x15ac:absPath xmlns:x15ac="http://schemas.microsoft.com/office/spreadsheetml/2010/11/ac" url="https://asiapacificcollege.sharepoint.com/sites/PBL990/Shared Documents/Project Management/Documents/Draft Documentation/2.0 Planning Phase/"/>
    </mc:Choice>
  </mc:AlternateContent>
  <xr:revisionPtr revIDLastSave="1273" documentId="8_{81F5DCDD-5A17-4F6B-B82C-B2C3A74FDA17}" xr6:coauthVersionLast="47" xr6:coauthVersionMax="47" xr10:uidLastSave="{66D07FF2-690D-46B2-BF6B-5AD909B987BF}"/>
  <bookViews>
    <workbookView xWindow="11424" yWindow="0" windowWidth="11712" windowHeight="12336" firstSheet="2" activeTab="2" xr2:uid="{65DF09DD-735F-4873-89C9-83E3702073ED}"/>
  </bookViews>
  <sheets>
    <sheet name="Risk Register Final" sheetId="6" r:id="rId1"/>
    <sheet name="Risk Register Voting" sheetId="7" r:id="rId2"/>
    <sheet name="Justification" sheetId="5" r:id="rId3"/>
  </sheets>
  <definedNames>
    <definedName name="_xlnm._FilterDatabase" localSheetId="2" hidden="1">Justification!$J$2:$J$21</definedName>
    <definedName name="_xlnm._FilterDatabase" localSheetId="1" hidden="1">'Risk Register Voting'!$B$3:$P$20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7" l="1"/>
  <c r="I5" i="7"/>
  <c r="N5" i="7"/>
  <c r="N9" i="7"/>
  <c r="N6" i="7"/>
  <c r="N7" i="7"/>
  <c r="N17" i="7"/>
  <c r="N15" i="7"/>
  <c r="N11" i="7"/>
  <c r="N20" i="7"/>
  <c r="N8" i="7"/>
  <c r="N10" i="7"/>
  <c r="N12" i="7"/>
  <c r="N16" i="7"/>
  <c r="N14" i="7"/>
  <c r="N19" i="7"/>
  <c r="N13" i="7"/>
  <c r="N18" i="7"/>
  <c r="N4" i="7"/>
  <c r="I8" i="7"/>
  <c r="I10" i="7"/>
  <c r="I12" i="7"/>
  <c r="I16" i="7"/>
  <c r="I14" i="7"/>
  <c r="I9" i="7"/>
  <c r="I6" i="7"/>
  <c r="I7" i="7"/>
  <c r="I17" i="7"/>
  <c r="I15" i="7"/>
  <c r="I11" i="7"/>
  <c r="I20" i="7"/>
  <c r="I19" i="7"/>
  <c r="I13" i="7"/>
  <c r="I18" i="7"/>
  <c r="I4" i="7"/>
  <c r="O4" i="7" s="1"/>
  <c r="F3" i="5"/>
  <c r="F5" i="5"/>
  <c r="F6" i="5"/>
  <c r="F7" i="5"/>
  <c r="F8" i="5"/>
  <c r="F9" i="5"/>
  <c r="F10" i="5"/>
  <c r="F11" i="5"/>
  <c r="F12" i="5"/>
  <c r="F13" i="5"/>
  <c r="F14" i="5"/>
  <c r="F15" i="5"/>
  <c r="F16" i="5"/>
  <c r="F17" i="5"/>
  <c r="F18" i="5"/>
  <c r="F19" i="5"/>
  <c r="F20" i="5"/>
  <c r="F21" i="5"/>
  <c r="O5" i="7" l="1"/>
  <c r="P5" i="7" s="1"/>
  <c r="O20" i="7"/>
  <c r="P20" i="7" s="1"/>
  <c r="O11" i="7"/>
  <c r="P11" i="7" s="1"/>
  <c r="O7" i="7"/>
  <c r="P7" i="7" s="1"/>
  <c r="O9" i="7"/>
  <c r="P9" i="7" s="1"/>
  <c r="O18" i="7"/>
  <c r="P18" i="7" s="1"/>
  <c r="O13" i="7"/>
  <c r="P13" i="7" s="1"/>
  <c r="O19" i="7"/>
  <c r="P19" i="7" s="1"/>
  <c r="O14" i="7"/>
  <c r="P14" i="7" s="1"/>
  <c r="O16" i="7"/>
  <c r="P16" i="7" s="1"/>
  <c r="O12" i="7"/>
  <c r="P12" i="7" s="1"/>
  <c r="O10" i="7"/>
  <c r="P10" i="7" s="1"/>
  <c r="O8" i="7"/>
  <c r="P8" i="7" s="1"/>
  <c r="O15" i="7"/>
  <c r="P15" i="7" s="1"/>
  <c r="O17" i="7"/>
  <c r="P17" i="7" s="1"/>
  <c r="O6" i="7"/>
  <c r="P6" i="7" s="1"/>
</calcChain>
</file>

<file path=xl/sharedStrings.xml><?xml version="1.0" encoding="utf-8"?>
<sst xmlns="http://schemas.openxmlformats.org/spreadsheetml/2006/main" count="307" uniqueCount="188">
  <si>
    <t>Risk Identification</t>
  </si>
  <si>
    <t>Qualitative Rating</t>
  </si>
  <si>
    <t>Risk Respones</t>
  </si>
  <si>
    <t>Risk Ranking</t>
  </si>
  <si>
    <t>Risk Title</t>
  </si>
  <si>
    <t>Risk Description</t>
  </si>
  <si>
    <t>Risk Category</t>
  </si>
  <si>
    <t>Probability</t>
  </si>
  <si>
    <t>Impact</t>
  </si>
  <si>
    <t>Risk Score</t>
  </si>
  <si>
    <t>Risk Strategy</t>
  </si>
  <si>
    <t>Risk Response</t>
  </si>
  <si>
    <t>Trigger</t>
  </si>
  <si>
    <t>Risk Owner</t>
  </si>
  <si>
    <t>Low Provider Adoption</t>
  </si>
  <si>
    <t>Targeted Makati service providers are hesitant to move away from manual booking.</t>
  </si>
  <si>
    <t>Business and Reputation</t>
  </si>
  <si>
    <t>Mitigation</t>
  </si>
  <si>
    <t>Provide in-person onboarding and "concierge" profile setup services to lower barrier to entry.</t>
  </si>
  <si>
    <t>Less than 1 verified provider by May 15 release.</t>
  </si>
  <si>
    <t>Project Manager</t>
  </si>
  <si>
    <t>AI API Cost Overrun</t>
  </si>
  <si>
    <t>The intensive transactional token consumption driven by multi-turn dialogs within the AI Booking Assistant and massive data array parsing by the AI-Powered Data Analyst exceeds the core team's allocated fixed budget, causing premature deployment throttling, platform downtime, or financial operational deficits.</t>
  </si>
  <si>
    <t>AI and Third-Party Dependencies</t>
  </si>
  <si>
    <t>Implement programmatic server-side middleware rate limiting alongside robust token optimization, semantic compression arrays, and payload pruning rules within the Supabase Edge Functions.</t>
  </si>
  <si>
    <t>A sudden, unpredicted spike in legitimate user traffic or high-turn conversational chat sessions following your marketing campaigns.</t>
  </si>
  <si>
    <t>Lead Full-Stack Developer</t>
  </si>
  <si>
    <t>AI Hallucination Risk.</t>
  </si>
  <si>
    <t>AI features generate incorrect schedules, pricing, or advice, leading to grooming appointment schedules</t>
  </si>
  <si>
    <t>A hidden code guardrail checks all AI answers against the real database and forces the user to review a final summary screen before anything is officially booked.</t>
  </si>
  <si>
    <t>Confusing prompts or inputs from users.</t>
  </si>
  <si>
    <t>Unauthorized Admin Access</t>
  </si>
  <si>
    <t>Malicious actors bypassing security controls to gain full administrative privileges.</t>
  </si>
  <si>
    <t>Security and Compliance</t>
  </si>
  <si>
    <t>Implement multi-factor authentication (MFA) for admin panels and strict IP-whitelisting for internal tools.</t>
  </si>
  <si>
    <t>User feedback flags 2+ automated booking errors in a single day.</t>
  </si>
  <si>
    <t>Full-Stack Developer</t>
  </si>
  <si>
    <t>Security Breach</t>
  </si>
  <si>
    <t>Unauthorized access to sensitive user or payment data.</t>
  </si>
  <si>
    <t>Implement HTTPS, industry-standard hashing, and strict Role-Based Access Control (RBAC).</t>
  </si>
  <si>
    <t>Any login attempt to /admin from an unrecognized IP address.</t>
  </si>
  <si>
    <t>UAT Failure</t>
  </si>
  <si>
    <t>Pet owners find the interface confusing, leading to low "Ease of Use" ratings.</t>
  </si>
  <si>
    <t>Quality</t>
  </si>
  <si>
    <t>Conduct weekly UI reviews and iterative feedback sessions before the final August UAT. (regular)</t>
  </si>
  <si>
    <t>Average ease-of-use rating falls below 3.5/5.</t>
  </si>
  <si>
    <t>Quality Assurance</t>
  </si>
  <si>
    <t>Database Failure</t>
  </si>
  <si>
    <t>Technical Infrastructure and Performance</t>
  </si>
  <si>
    <t>Set up automated daily backups and point-in-time recovery (PITR) inside Supabase to ensure data can be restored instantly if the system crashes or corrupts.</t>
  </si>
  <si>
    <t>The application throws continuous database connection errors like timeouts and 500 Internal Server Error.</t>
  </si>
  <si>
    <t>Dashboard Data Processing</t>
  </si>
  <si>
    <t>Critical crash of cloud database infrastructure, resulting in temporary loss of data.</t>
  </si>
  <si>
    <t>Build an API cache layer in the backend to store analytical reports temporarily, and implement a manual refresh button so providers only fetch fresh data when absolutely necessary.</t>
  </si>
  <si>
    <t>Dashboard metrics fail to refresh, throw loading timeout errors, or display zero/blank values during active business periods.</t>
  </si>
  <si>
    <t>Data Privacy Compliance Violation</t>
  </si>
  <si>
    <t>Mishandling user consent or failing to honor user privacy rights, triggering legal penalties under the Philippine Data Privacy Act (R.A. 10173).</t>
  </si>
  <si>
    <t>Design data registration screens to explicitly capture user consent via checkboxes, and build an automatic one-click "Delete Account" button so users can instantly wipe their records.</t>
  </si>
  <si>
    <t>Any unauthorized data access attempt detected.</t>
  </si>
  <si>
    <t>Loss of Customer Trust</t>
  </si>
  <si>
    <t>Brand damage resulting from recurring technical issues, data breaches, or consistently poor user experience.</t>
  </si>
  <si>
    <t>Publish real-time status pages; proactively dispatch compensation discounts to affected Makati pet owners.</t>
  </si>
  <si>
    <t xml:space="preserve">Official security advisory from the AI provider or detection of anomalous AI outputs.	</t>
  </si>
  <si>
    <t>Product Owner</t>
  </si>
  <si>
    <t>Fraudulent Payment Shutdown</t>
  </si>
  <si>
    <t>Fraudulent or suspicious transactions may trigger payment gateway security measures, causing temporary account freezes and delayed fund transfers.</t>
  </si>
  <si>
    <t>Deploy client-side transaction screening logic; hold booking validation until webhook confirms clear payment.</t>
  </si>
  <si>
    <t>Database connection pool fails or database returns persistent 500 connection drop codes.</t>
  </si>
  <si>
    <t>Payment Gateway Delay</t>
  </si>
  <si>
    <t>Issues with PayMongo integration prevent automated payment link delivery.</t>
  </si>
  <si>
    <t>Build an automatic background retry loop into your Supabase Edge Functions that programmatically re-attempts to deliver the payment link if the initial PayMongo connection fails.</t>
  </si>
  <si>
    <t>The PayMongo API endpoint times out or returns an error status code during payment.</t>
  </si>
  <si>
    <t>High Traffic Issues</t>
  </si>
  <si>
    <t>Server overload during peak booking seasons or hours, causing the application to significantly slow down or crash.</t>
  </si>
  <si>
    <t>Configure Vercel auto-scaling thresholds to dynamically spin up serverless computing nodes during traffic spikes, implement a Supabase API caching layer to minimize heavy database reads, and set up a lightweight traffic-throttling middleware to queue incoming requests safely.</t>
  </si>
  <si>
    <t>Real-time CPU or memory utilization on your active cloud infrastructure surges past 85%</t>
  </si>
  <si>
    <t>Mobile Device Compatibility Issues</t>
  </si>
  <si>
    <t>The platform interface breaks, overlaps, or renders improperly on various smartphone screens, rendering key buttons unusable for pet owners trying to book on the go.</t>
  </si>
  <si>
    <t>Enforce mobile-first responsive CSS architecture and conduct automated cross-browser layout testing across standard iOS and Android screen profiles before every code deployment.</t>
  </si>
  <si>
    <t>The staging test suite reports a responsive breakpoint mismatch, or live user session logs record a sudden drop in booking completions specifically from mobile viewports.</t>
  </si>
  <si>
    <t>Incomplete System Updates</t>
  </si>
  <si>
    <t>Deploying flawed or partially finished code to production environment, causing system instability or breaking existing features.</t>
  </si>
  <si>
    <t>Operational</t>
  </si>
  <si>
    <t>Establish a strict main-branch protection policy in GitHub requiring automated test passes and mandatory approval signatures from both QA and Release leads before code can be merged into production.</t>
  </si>
  <si>
    <t>Automated integration tests fail during a deployment run, or a sudden spike in software crash alerts is logged immediately following a new platform update.</t>
  </si>
  <si>
    <t>Third-Party Service Shutdown</t>
  </si>
  <si>
    <t>Sudden discontinuation or prolonged outage of crticial external platforms.</t>
  </si>
  <si>
    <t>Abstract all third-party API dependencies into modular code wrappers, allowing the development team to quickly swap connections and migrate to an alternative provider with minimal code rewrites.</t>
  </si>
  <si>
    <t>An external vendor issues an official product sunset announcement, or the platform's system logs record a continuous 24+ hour service drop from a core API provider.</t>
  </si>
  <si>
    <t>Down AI Image Generation</t>
  </si>
  <si>
    <t>Outage of external AI tools preventing the creation AI generated image.</t>
  </si>
  <si>
    <t>Implement an automated fallback system in your code that temporarily routes image requests to a backup AI engine while the primary AI service is offline.</t>
  </si>
  <si>
    <t>The platform's backend logs a high rate of connection timeouts or 503 Service Unavailable error responses specifically from the primary image generation API.</t>
  </si>
  <si>
    <t>Probability Votes (1–5)</t>
  </si>
  <si>
    <t>Impact Votes (1–5)</t>
  </si>
  <si>
    <t>Final Score</t>
  </si>
  <si>
    <t>Rank</t>
  </si>
  <si>
    <t>Category</t>
  </si>
  <si>
    <t xml:space="preserve"> Lalainne</t>
  </si>
  <si>
    <t>Atasha</t>
  </si>
  <si>
    <t xml:space="preserve"> Michelle</t>
  </si>
  <si>
    <t>Feliz</t>
  </si>
  <si>
    <t>Average</t>
  </si>
  <si>
    <t xml:space="preserve"> Feliz</t>
  </si>
  <si>
    <t>Risk Level</t>
  </si>
  <si>
    <r>
      <rPr>
        <sz val="10"/>
        <rFont val="Arial"/>
        <family val="2"/>
      </rPr>
      <t>AI Hallucination Risk.</t>
    </r>
  </si>
  <si>
    <r>
      <rPr>
        <sz val="10"/>
        <rFont val="Arial"/>
        <family val="2"/>
      </rPr>
      <t>Incomplete System Updates.</t>
    </r>
  </si>
  <si>
    <t>Risk</t>
  </si>
  <si>
    <t>Justification</t>
  </si>
  <si>
    <t>Reference</t>
  </si>
  <si>
    <r>
      <t>Low Provider Adoption:</t>
    </r>
    <r>
      <rPr>
        <sz val="10"/>
        <color rgb="FF1F1F1F"/>
        <rFont val="Arial"/>
        <family val="2"/>
      </rPr>
      <t xml:space="preserve"> Targeted Makati groomers are hesitant to move away from manual booking.</t>
    </r>
  </si>
  <si>
    <t>Provide in-person onboarding and "concierge" profile setup services to lower barrier to entry. Government agencies like DOST, DTI, and DICT are actively improving digital literacy.</t>
  </si>
  <si>
    <t>The Philippine startup market has experienced a significant growth from 100 startups in 2015 to 700, and climbing from 100th to 51st in the Global Innovation Index (How The Philippines Is Helping Tech Startups, 2023). However, tech startups and digital platforms in the Philippines still face challenges due to the lack of digital literacy, deficient digital infrastruycture, and shortage of tech mentors.A platform like furlink cannot scale without supply. If service providers and pet owners fail to adopt due to the highlighted gaps, the platform cannot generate revenue. The Philippine Innovation Act and Innovatice Startup Act are designed to empower tech innovation. DOST, DTI, DICT have programs and initiatives to support startups.</t>
  </si>
  <si>
    <t>https://seads.adb.org/articles/how-philippines-helping-tech-startups</t>
  </si>
  <si>
    <r>
      <t xml:space="preserve">AI API Cost Overrun: </t>
    </r>
    <r>
      <rPr>
        <sz val="10"/>
        <color rgb="FF1F1F1F"/>
        <rFont val="Arial"/>
        <family val="2"/>
      </rPr>
      <t>The intensive transactional token consumption driven by multi-turn dialogs within the AI Booking Assistant and massive data array parsing by the AI-Powered Data Analyst—coupled with heavy GPU graphic rendering pipelines inside the AI Pet Haircut Generator—exceeds the core team's allocated fixed budget, causing premature deployment throttling, platform downtime, or financial operational deficits.</t>
    </r>
  </si>
  <si>
    <t>Lead Developer</t>
  </si>
  <si>
    <t>Mitigating this risk through rate limiting and prompt compression allows furlink to retain its core AI capabilities while programmatically preventing financial resource depletion.</t>
  </si>
  <si>
    <t>https://ai.google.dev/gemini-api/docs/rate-limits
https://www.ibm.com/think/tutorials/prompt-compression</t>
  </si>
  <si>
    <t>Large Language Models (LLMs) charge micro-transactions per token. Multi-turn chat conversations and massive dataset parsing exponentially inflate token counts. Without strict architectural controls, a viral marketing campaign or a loop anomaly could exhaust your financial budget in hours, causing cloud providers to throttle your API keys and take down furlink's core AI helper.
Moving token optimization and rate-limiting to Supabase Edge Functions blocks malicious or runaway usage before it hits the external OpenAI/Gemini servers. Text pruning and semantic compression shrink the text footprint, dropping API bills by up to $30\%\text{--}40\%$ while preserving conversational memory.</t>
  </si>
  <si>
    <r>
      <t>External API Rate Limits:</t>
    </r>
    <r>
      <rPr>
        <sz val="10"/>
        <color rgb="FF1F1F1F"/>
        <rFont val="Arial"/>
        <family val="2"/>
      </rPr>
      <t xml:space="preserve"> AI features (Booking Assistant) fail due to third-party provider constraints.</t>
    </r>
  </si>
  <si>
    <t>Implement graceful fallback mechanisms; ensure standard booking remains functional without AI.</t>
  </si>
  <si>
    <t>API latency exceeds 20s or returns error.</t>
  </si>
  <si>
    <t>Since furlink relies on Large Language Models for the AI Booking Assistant, there is a possibility for Resource Exhaution or API Throttling. Gemini API have rate limits for to protect their cloud infrastructures and multiple access may trigger HTTP 429. Without mitigation, the error may lead into a complete system freeze which may lead to user abandonment. Therefore, instead of allowing an API error to crash, the system must detect the bottleneck and automatically drops back to a highly stable, conventional web-form interface.</t>
  </si>
  <si>
    <t>⁠https://docs.cloud.google.com/architecture/framework/reliability/graceful-degradation?authuser=1
⁠https://apipark.com/techblog/en/how-to-circumvent-api-rate-limiting-best-practices/#consequences-of…
https://www.zoho.com/creator/decode/integration-errors-handling-strategies</t>
  </si>
  <si>
    <r>
      <t>UAT Failure:</t>
    </r>
    <r>
      <rPr>
        <sz val="10"/>
        <color rgb="FF1F1F1F"/>
        <rFont val="Arial"/>
        <family val="2"/>
      </rPr>
      <t xml:space="preserve"> Pet owners find the interface confusing, leading to low "Ease of Use" ratings.</t>
    </r>
  </si>
  <si>
    <t>QA Lead</t>
  </si>
  <si>
    <t>If pet owners find the app confusing, they will stop using it and go back to traditional messaging. Testing the design early with small groups allows the team to fix messy navigation flows before the final launch.</t>
  </si>
  <si>
    <t>Why You Only Need to Test with 5 Users - NN/G</t>
  </si>
  <si>
    <r>
      <rPr>
        <b/>
        <sz val="10"/>
        <rFont val="Arial"/>
        <family val="2"/>
      </rPr>
      <t xml:space="preserve">AI Hallucination Risk: </t>
    </r>
    <r>
      <rPr>
        <sz val="10"/>
        <rFont val="Arial"/>
        <family val="2"/>
      </rPr>
      <t>AI features generate incorrect schedules, pricing, or advice, leading to grooming appointment schedules.</t>
    </r>
  </si>
  <si>
    <t>Implement strict prompt constraint layers, input validation regex, and a one-click manual booking bypass.</t>
  </si>
  <si>
    <t xml:space="preserve">Since LLMs operate based on likelihoods it is susceptible to AI Hallucination which may introduce financial disputes. With a strict prompt layer that has immutable parameters, temeperature controls, and contextual anchoring, the system reduces the model's creative variance. Input or output validation regex will also help to check the generated values by the AI to the client interface or committed to the database ledger, regex strings, and database schemas validate the data format to catch syntax or data errors instantly. While the one-click manual booking bypass helps guarantee that the system's operational continuity. If the automated tracking is tripped, the application can instantly bypass the AI laywer entirely, pivoting users to a standard, deterministic Web2 manual scheduling form. </t>
  </si>
  <si>
    <t>⁠https://owasp.org/www-project-top-10-for-large-language-model-applications/
⁠https://www.ibm.com/think/topics/ai-hallucinations
⁠https://www.google.com/search?q=https://developer.nvidia.com/blog/nvidia-enables-trustworthy-safe-a…</t>
  </si>
  <si>
    <t>Generative AI is probabilistic; it does not natively understand actual real-time slot bookings. If left unmonitored, an AI engine can confidently state an open grooming appointment slot that is actually full, or miscalculate pricing, breaking your system's data integrity and ruining customer trust.
The system uses the AI exclusively as a conversational translator, not the record of truth. When an operational intent is extracted, a hidden server-side verification check triggers an explicit SQL check against your Supabase PostgreSQL backend. The user is then presented with a hard interface summary card, converting the unverified AI prompt into an immutable database commit only after human verification.</t>
  </si>
  <si>
    <r>
      <rPr>
        <b/>
        <sz val="10"/>
        <color rgb="FF1F1F1F"/>
        <rFont val="Arial"/>
        <family val="2"/>
      </rPr>
      <t xml:space="preserve">Unauthorized Admin Access: </t>
    </r>
    <r>
      <rPr>
        <sz val="10"/>
        <color rgb="FF1F1F1F"/>
        <rFont val="Arial"/>
        <family val="2"/>
      </rPr>
      <t>Malicious actors bypassing security controls to gain full administrative privileges</t>
    </r>
    <r>
      <rPr>
        <b/>
        <sz val="10"/>
        <color rgb="FF1F1F1F"/>
        <rFont val="Arial"/>
        <family val="2"/>
      </rPr>
      <t>.</t>
    </r>
  </si>
  <si>
    <t>Release Manager</t>
  </si>
  <si>
    <t>Administrative accounts possess the highest level of authorization within the platform, capable of altering provider profiles, modifying system configurations, or accessing the backend. If a malicious actor bypasses standard login protocols, they can dismantle the platform’s operational integrity. Enforcing  MFA and IP-whitelisting ensures that even if credentials are compromised, access is physically restricted to recognized internal network boundaries.</t>
  </si>
  <si>
    <t>https://owasp.org/Top10/A01_2021-Broken_A
ccess_Control/)</t>
  </si>
  <si>
    <r>
      <rPr>
        <b/>
        <sz val="10"/>
        <color rgb="FF000000"/>
        <rFont val="Arial"/>
        <family val="2"/>
      </rPr>
      <t xml:space="preserve">Mobile Device Compatibility Issues: </t>
    </r>
    <r>
      <rPr>
        <sz val="10"/>
        <color rgb="FF000000"/>
        <rFont val="Arial"/>
        <family val="2"/>
      </rPr>
      <t>The platform interface breaks, overlaps, or is rendering improperly on other devices.</t>
    </r>
  </si>
  <si>
    <t>Enforce mobile-first CSS testing across popular viewport profiles (iOS/Android) during staging.</t>
  </si>
  <si>
    <t>UI components overlap or buttons become unclickable during weekly QA passes.</t>
  </si>
  <si>
    <r>
      <t>Payment Gateway Delay:</t>
    </r>
    <r>
      <rPr>
        <sz val="10"/>
        <color rgb="FF1F1F1F"/>
        <rFont val="Arial"/>
        <family val="2"/>
      </rPr>
      <t xml:space="preserve"> Issues with PayMongo integration prevent automated payment link delivery.</t>
    </r>
  </si>
  <si>
    <t>Start development of the Payment Gateway early (July 22) and maintain manual link backup protocols.</t>
  </si>
  <si>
    <t>PayMongo sandbox tests fail on May 13-14</t>
  </si>
  <si>
    <t>Network requests to external financial gateways like PayMongo are prone to transient timeouts or localized platform hiccups. If a gateway connection drops for just a few seconds while a pet owner is confirming an appointment, the checkout sequence freezes, leading to abandoned carts and lost business revenue.
Rather than executing the transaction on the main client thread—which forces the user to sit on a loading screen—the transaction request is pushed to an asynchronous backend background worker in Supabase. If PayMongo returns a 504 Gateway Timeout, the edge function catches it and fires an automated back-off retry loop up to 3 times before declaring an actual system failure, shielding the frontend user experience entirely from network drops.</t>
  </si>
  <si>
    <r>
      <t xml:space="preserve">Dashboard Data Processing: </t>
    </r>
    <r>
      <rPr>
        <sz val="10"/>
        <rFont val="Arial"/>
        <family val="2"/>
      </rPr>
      <t>Failure to accurately process and visualize real-time service provider metrics or system performance data.</t>
    </r>
  </si>
  <si>
    <t>Build a cache layer for dashboard data in Supabase; implement manual refresh buttons for providers.</t>
  </si>
  <si>
    <t>Dashboard metrics fail to refresh or show negative/zero values for active periods.</t>
  </si>
  <si>
    <r>
      <rPr>
        <b/>
        <sz val="10"/>
        <color rgb="FF000000"/>
        <rFont val="Arial"/>
        <family val="2"/>
      </rPr>
      <t xml:space="preserve">Down AI Image Generation: </t>
    </r>
    <r>
      <rPr>
        <sz val="10"/>
        <color rgb="FF000000"/>
        <rFont val="Arial"/>
        <family val="2"/>
      </rPr>
      <t>Outage of external AI tools preventing the creation AI generated image.</t>
    </r>
  </si>
  <si>
    <t>Use back up AI as placeholder while the primary AI is down</t>
  </si>
  <si>
    <t>Image API returns a 5xx server error or timeout.</t>
  </si>
  <si>
    <r>
      <t>Security Breach:</t>
    </r>
    <r>
      <rPr>
        <sz val="10"/>
        <color rgb="FF1F1F1F"/>
        <rFont val="Arial"/>
        <family val="2"/>
      </rPr>
      <t xml:space="preserve"> Unauthorized access to sensitive user or payment data.</t>
    </r>
  </si>
  <si>
    <t>furlink processes personally identifiable information or both pet owners and service providers. A failure in database security, such as misconfigured Row-Level Security (RLS) in Supabase, exposes the entire user registry to a security breach. Implementing hashing and  RBAC ensures data remains encrypted both at rest and in transit.</t>
  </si>
  <si>
    <t>https://www.privacy.gov.ph/</t>
  </si>
  <si>
    <t>A startup platform handling active customer accounts, appointment manifests, and financial logs is an immediate target for malicious credential-stuffing or SQL injection attempts. Compromised administrator privileges give bad actors direct control over the live system state, posing an existential threat to business operations.
Restricting data exposure requires a multi-layered security blueprint. Transport Layer Security (HTTPS) prevents packet sniffing over public networks. Passwords are protected using secure, salt-backed cryptographic hashing algorithms to make rainbow-table attacks useless. Finally, implementing strict Role-Based Access Control (RBAC) ensures database structures check incoming JSON Web Token claims, entirely blocking non-admin requests from viewing admin control schemas.</t>
  </si>
  <si>
    <r>
      <rPr>
        <b/>
        <sz val="10"/>
        <rFont val="Arial"/>
        <family val="2"/>
      </rPr>
      <t xml:space="preserve">Supply Chain Attack (e.g., Gemini/AI Provider Breach): </t>
    </r>
    <r>
      <rPr>
        <sz val="10"/>
        <rFont val="Arial"/>
        <family val="2"/>
      </rPr>
      <t>Compromise of third-party AI services leading to data leaks or service hijacking.</t>
    </r>
  </si>
  <si>
    <t>Regularly rotate API keys and sanitize all data exchanged with the AI provider. Maintain localized backup logic for core bookings to bypass the compromised service.</t>
  </si>
  <si>
    <t>Because the AI Booking Assistant continuously exchanges data with Google's Gemini 
models, a security compromise at the provider level could allow attackers to inject malicious payloads directly into the furlink interface. Regularly rotating API keys and actively sanitizing all data inputs/outputs, ensuring that a vulnerability in an external AI provider does not turn into a primary system breach.</t>
  </si>
  <si>
    <t xml:space="preserve">https://owasp.org/www-project-top-10-for-large-language-model-applications/
</t>
  </si>
  <si>
    <r>
      <rPr>
        <b/>
        <sz val="10"/>
        <rFont val="Arial"/>
        <family val="2"/>
      </rPr>
      <t xml:space="preserve">Database Failure: </t>
    </r>
    <r>
      <rPr>
        <sz val="10"/>
        <rFont val="Arial"/>
        <family val="2"/>
      </rPr>
      <t>Critcal crash of cloud database infrastructure, resulting in temporary loss of data.</t>
    </r>
  </si>
  <si>
    <t>Set up point-in-time recovery (PITR) and automated daily database backups within your Supabase configurations.</t>
  </si>
  <si>
    <t>Your database holds all your critical platform information—user credentials, groomer calendars, payment logs, and system states. If your database gets corrupted or crashes without a backup, your platform faces permanent data loss, bringing business operations to an immediate halt.
Setting up automated daily snapshots provides a robust safety net against massive system corruption. More importantly, configuring Point-in-Time Recovery (PITR) inside Supabase continuously streams your database write-ahead logs (WAL). If a fatal write error or corruption occurs at 2:15 PM, the Lead Developer can roll the database back to exactly 2:14 PM, preventing permanent data loss.</t>
  </si>
  <si>
    <r>
      <rPr>
        <b/>
        <sz val="10"/>
        <rFont val="Arial"/>
        <family val="2"/>
      </rPr>
      <t xml:space="preserve">Data Privacy Compliance Violation: </t>
    </r>
    <r>
      <rPr>
        <sz val="10"/>
        <rFont val="Arial"/>
        <family val="2"/>
      </rPr>
      <t>Mishandling user consent or personal data, triggering legal penalties.</t>
    </r>
  </si>
  <si>
    <t>Data logs show user PII being saved without active opt-in confirmation flags.</t>
  </si>
  <si>
    <t>As platforms scale and collect more data, the attack surface expands. Organizations often fail to implement access controls during development which create vulnerabilities in how user consent and PIIs are stored and managed. The financial and legal penalties can be devasting. According to Khwaldeh (2026), a global average cost of an organizational data breach has reached 4.88M USD. For a small startup project like furlink, an unexpected million-peso fine can drain contingency reserves.</t>
  </si>
  <si>
    <t>https://arxiv.org/abs/2604.23058
https://www.mdpi.com/2075-471X/15/2/26</t>
  </si>
  <si>
    <t>In the Philippines, collecting pet owner contact info, home addresses, and payment logs falls directly under the jurisdiction of Republic Act No. 10173 (Philippine Data Privacy Act of 2012). Failing to secure explicit consent or denying users the "Right to Erasure" leaves your platform open to severe legal compliance orders, hefty financial penalties, and immediate platform shutdown by the National Privacy Commission (NPC).
To remain fully compliant with NPC standards, user enrollment workflows must include explicit checkbox fields that record affirmative consent to data processing. Furthermore, creating a programmatic one-click "Delete Account" option triggers cascading database wipes across your Supabase storage systems, fulfilling the legal mandate to honor user-driven account erasure completely.</t>
  </si>
  <si>
    <r>
      <rPr>
        <b/>
        <sz val="10"/>
        <rFont val="Arial"/>
        <family val="2"/>
      </rPr>
      <t xml:space="preserve">High Traffic Issues: </t>
    </r>
    <r>
      <rPr>
        <sz val="10"/>
        <rFont val="Arial"/>
        <family val="2"/>
      </rPr>
      <t>Server overload during peak booking seasons or hours, causing the application to significantly slow down or crash.</t>
    </r>
  </si>
  <si>
    <t>Configure vertical database scaling and auto-scaling rules on hosting servers ahead of high-volume seasonal periods.</t>
  </si>
  <si>
    <t>Server CPU utilization goes past 85% for more than 5 consecutive minutes.</t>
  </si>
  <si>
    <t>Serverless infrastructures still has thresholds for database connection 
pooling. A sudden surge in user traffic such as a localized weekend booking rush can rapidly exhaust the Supabase connection pool or Vercel compute limits, resulting in Internal Server Errors. Anticipating these spikes and proactively configuring vertical scaling and auto-scaling rules makes sure the platform absorbs the load without dropping active user checkout sessions or provider dashboard queries.</t>
  </si>
  <si>
    <t>https://cloud.google.com/architecture/framework
/reliability</t>
  </si>
  <si>
    <t>Peak booking hours (like payday weekends or holiday rushes) trigger intense surges in concurrent user traffic. If left unmanaged, these surges exhaust your system's memory allocation and database connection pools, causing your servers to slow down dramatically or crash completely.
This strategy approaches the problem from two angles: resource expansion and database relief. Vercel auto-scaling dynamically scales your serverless compute power up or down based on real-time traffic demand. At the same time, an API caching layer keeps frequently requested data (like salon profile pages) ready in memory. This means your system can serve data instantly without hitting the database on every single request, protecting your core backend from getting overwhelmed.</t>
  </si>
  <si>
    <r>
      <rPr>
        <b/>
        <sz val="10"/>
        <rFont val="Arial"/>
        <family val="2"/>
      </rPr>
      <t xml:space="preserve">Fraudulent Payment Shutdown: </t>
    </r>
    <r>
      <rPr>
        <sz val="10"/>
        <rFont val="Arial"/>
        <family val="2"/>
      </rPr>
      <t>Fraudulent or suspicious transactions may trigger payment gateway security measures, causing temporary account freezes and delayed fund transfers.</t>
    </r>
  </si>
  <si>
    <t>PayMongo issues a high-risk fraud flag or freezes the developer account sandbox/production tier.</t>
  </si>
  <si>
    <t xml:space="preserve">If PayMongo flags suspicious transaction, their automated system can instantly freeze the merchant account, making us unable to pay out service providers even though we can still accept bookings. SPs rely on payouts as part of their business operation. If furlink faces a frozen gateway, the provider will no longer trust the organizarion and will abandon the applicarion. </t>
  </si>
  <si>
    <r>
      <rPr>
        <b/>
        <sz val="10"/>
        <color rgb="FF000000"/>
        <rFont val="Arial"/>
        <family val="2"/>
      </rPr>
      <t xml:space="preserve">Third-Party Service Shutdown: </t>
    </r>
    <r>
      <rPr>
        <sz val="10"/>
        <color rgb="FF000000"/>
        <rFont val="Arial"/>
        <family val="2"/>
      </rPr>
      <t>Sudden discontinuation or prolonged outage of crticial external platforms.</t>
    </r>
  </si>
  <si>
    <t>Abstract third-party API dependencies into modular wrappers to enable fast migration to alternative providers.</t>
  </si>
  <si>
    <t>Provider issues a sunset announcement or experiences a continuous 24+ hour service drop.</t>
  </si>
  <si>
    <t>Building a modern application requires connecting to critical vendor APIs (like specific payment gateways, SMS relays, or AI engines). If a provider goes bankrupt, alters its pricing structure disruptively, or undergoes an extended multi-day operational outage, the application's core transactional pipelines break down.
Hardcoding third-party SDK variables straight into your primary UI controllers causes intense software architectural lock-in. By building an abstraction layer—a generic software interface wrapper—the underlying business workflows remain completely decoupled from specific vendors. Swapping providers from PayMongo to alternative gateways simply requires updating a single backend translation asset, keeping code modification footprint near zero.</t>
  </si>
  <si>
    <r>
      <rPr>
        <b/>
        <sz val="10"/>
        <rFont val="Arial"/>
        <family val="2"/>
      </rPr>
      <t xml:space="preserve">Loss of Customer Trust: </t>
    </r>
    <r>
      <rPr>
        <sz val="10"/>
        <rFont val="Arial"/>
        <family val="2"/>
      </rPr>
      <t>Brand damage resulting from recurring technical issues, data breaches, or consistently poor user experience.</t>
    </r>
  </si>
  <si>
    <t>Platform app store or social media sentiment trends below 3.5 out of 5 stars.</t>
  </si>
  <si>
    <t>Digital trust is crucial when it comes to maximizing the potential of digital technologies and maintain healthy relationships with its users. It's important to maintain a secure environment by ensuring that there are no often technical bugs, downtime, or a major security issue that involves users' PII. Broken trust is not something that can be fixed easily, it's something that can ruin the power of word-of-mouth as a promotion and customer loyalty.</t>
  </si>
  <si>
    <t>https://www.mdpi.com/2673-6470/5/2/14</t>
  </si>
  <si>
    <r>
      <rPr>
        <b/>
        <sz val="10"/>
        <rFont val="Arial"/>
        <family val="2"/>
      </rPr>
      <t xml:space="preserve">Incomplete System Updates: </t>
    </r>
    <r>
      <rPr>
        <sz val="10"/>
        <rFont val="Arial"/>
        <family val="2"/>
      </rPr>
      <t>Deploying flawed or partially finished code to production environment, causing system instability or breaking existing features.</t>
    </r>
  </si>
  <si>
    <t>Establish a hard main-branch protection policy requiring matching signatures from both QA and Release leads.</t>
  </si>
  <si>
    <t>Git deployment pipelines fire staging code directly into live server environments.</t>
  </si>
  <si>
    <t>Quali</t>
  </si>
  <si>
    <t>In a fast-moving team, pushing unverified changes can easily break live features like payments or bookings. Requiring automated tests and dual signatures from QA and Release leads keeps the live app 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</si>
</sst>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name val="Arial"/>
      <family val="2"/>
    </font>
    <font>
      <b/>
      <sz val="10"/>
      <name val="Arial"/>
      <family val="2"/>
    </font>
    <font>
      <sz val="10"/>
      <color rgb="FF1F1F1F"/>
      <name val="Arial"/>
      <family val="2"/>
    </font>
    <font>
      <b/>
      <sz val="10"/>
      <color rgb="FF1F1F1F"/>
      <name val="Arial"/>
      <family val="2"/>
    </font>
    <font>
      <b/>
      <sz val="10"/>
      <color rgb="FF000000"/>
      <name val="Arial"/>
      <family val="2"/>
    </font>
    <font>
      <sz val="10"/>
      <color rgb="FF000000"/>
      <name val="Arial"/>
      <family val="2"/>
    </font>
    <font>
      <u/>
      <sz val="10"/>
      <color theme="10"/>
      <name val="Arial"/>
      <family val="2"/>
    </font>
    <font>
      <b/>
      <sz val="10"/>
      <color rgb="FFFFFFFF"/>
      <name val="Arial"/>
      <family val="2"/>
    </font>
    <font>
      <b/>
      <sz val="10"/>
      <color theme="0"/>
      <name val="Arial"/>
      <family val="2"/>
    </font>
    <font>
      <sz val="10"/>
      <color rgb="FF000000"/>
      <name val="Arial"/>
      <family val="2"/>
      <charset val="1"/>
    </font>
    <font>
      <sz val="10"/>
      <color rgb="FFFF0000"/>
      <name val="Arial"/>
      <family val="2"/>
    </font>
  </fonts>
  <fills count="1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249977111117893"/>
        <bgColor rgb="FF3366FF"/>
      </patternFill>
    </fill>
    <fill>
      <patternFill patternType="solid">
        <fgColor theme="4" tint="-0.249977111117893"/>
        <bgColor rgb="FF555555"/>
      </patternFill>
    </fill>
    <fill>
      <patternFill patternType="solid">
        <fgColor theme="4" tint="-0.249977111117893"/>
        <bgColor rgb="FF2E7D32"/>
      </patternFill>
    </fill>
    <fill>
      <patternFill patternType="solid">
        <fgColor theme="4" tint="-0.249977111117893"/>
        <bgColor rgb="FF6A1B9A"/>
      </patternFill>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72">
    <xf numFmtId="0" fontId="0" fillId="0" borderId="0" xfId="0"/>
    <xf numFmtId="0" fontId="0" fillId="0" borderId="0" xfId="0" applyAlignment="1">
      <alignment wrapText="1"/>
    </xf>
    <xf numFmtId="0" fontId="2" fillId="0" borderId="5" xfId="0" applyFont="1" applyBorder="1" applyAlignment="1">
      <alignment vertical="center" wrapText="1" readingOrder="1"/>
    </xf>
    <xf numFmtId="0" fontId="0" fillId="0" borderId="5" xfId="0" applyBorder="1" applyAlignment="1">
      <alignment wrapText="1"/>
    </xf>
    <xf numFmtId="0" fontId="0" fillId="2" borderId="6" xfId="0" applyFill="1" applyBorder="1" applyAlignment="1">
      <alignment wrapText="1"/>
    </xf>
    <xf numFmtId="0" fontId="0" fillId="2" borderId="8" xfId="0" applyFill="1" applyBorder="1" applyAlignment="1">
      <alignment wrapText="1"/>
    </xf>
    <xf numFmtId="0" fontId="0" fillId="2" borderId="3" xfId="0" applyFill="1" applyBorder="1" applyAlignment="1">
      <alignment wrapText="1"/>
    </xf>
    <xf numFmtId="0" fontId="0" fillId="2" borderId="4" xfId="0" applyFill="1" applyBorder="1" applyAlignment="1">
      <alignment wrapText="1"/>
    </xf>
    <xf numFmtId="0" fontId="0" fillId="2" borderId="7" xfId="0" applyFill="1" applyBorder="1" applyAlignment="1">
      <alignment wrapText="1"/>
    </xf>
    <xf numFmtId="0" fontId="0" fillId="0" borderId="9" xfId="0" applyBorder="1" applyAlignment="1">
      <alignment wrapText="1"/>
    </xf>
    <xf numFmtId="0" fontId="0" fillId="0" borderId="5" xfId="0" applyBorder="1" applyAlignment="1">
      <alignment vertical="center" wrapText="1"/>
    </xf>
    <xf numFmtId="0" fontId="0" fillId="0" borderId="5" xfId="0" applyBorder="1" applyAlignment="1">
      <alignment horizontal="left" vertical="center" wrapText="1"/>
    </xf>
    <xf numFmtId="0" fontId="0" fillId="0" borderId="9" xfId="0" applyBorder="1" applyAlignment="1">
      <alignment vertical="center" wrapText="1"/>
    </xf>
    <xf numFmtId="0" fontId="0" fillId="0" borderId="5" xfId="0" applyBorder="1" applyAlignment="1">
      <alignment vertical="center"/>
    </xf>
    <xf numFmtId="0" fontId="0" fillId="3" borderId="5" xfId="0" applyFill="1" applyBorder="1" applyAlignment="1">
      <alignment vertical="center"/>
    </xf>
    <xf numFmtId="0" fontId="3" fillId="0" borderId="5" xfId="0" applyFont="1" applyBorder="1" applyAlignment="1">
      <alignment horizontal="left" vertical="center" wrapText="1" readingOrder="1"/>
    </xf>
    <xf numFmtId="0" fontId="2" fillId="0" borderId="5" xfId="0" applyFont="1" applyBorder="1" applyAlignment="1">
      <alignment horizontal="left" vertical="center" wrapText="1" readingOrder="1"/>
    </xf>
    <xf numFmtId="0" fontId="0" fillId="0" borderId="5" xfId="0" applyBorder="1" applyAlignment="1">
      <alignment horizontal="left" vertical="center"/>
    </xf>
    <xf numFmtId="0" fontId="1" fillId="0" borderId="5" xfId="0" applyFont="1" applyBorder="1" applyAlignment="1">
      <alignment horizontal="left" vertical="center" wrapText="1"/>
    </xf>
    <xf numFmtId="0" fontId="0" fillId="3" borderId="5" xfId="0" applyFill="1" applyBorder="1" applyAlignment="1">
      <alignment horizontal="left" vertical="center"/>
    </xf>
    <xf numFmtId="0" fontId="2" fillId="4" borderId="5" xfId="0" applyFont="1" applyFill="1" applyBorder="1" applyAlignment="1">
      <alignment horizontal="left" vertical="center" wrapText="1" readingOrder="1"/>
    </xf>
    <xf numFmtId="0" fontId="0" fillId="4" borderId="5" xfId="0" applyFill="1" applyBorder="1" applyAlignment="1">
      <alignment horizontal="left" vertical="center" wrapText="1"/>
    </xf>
    <xf numFmtId="0" fontId="0" fillId="4" borderId="5" xfId="0" applyFill="1" applyBorder="1" applyAlignment="1">
      <alignment horizontal="left" vertical="center"/>
    </xf>
    <xf numFmtId="0" fontId="0" fillId="4" borderId="5" xfId="0" applyFill="1" applyBorder="1" applyAlignment="1">
      <alignment vertical="center"/>
    </xf>
    <xf numFmtId="0" fontId="0" fillId="0" borderId="0" xfId="0" applyAlignment="1">
      <alignment vertical="center" wrapText="1"/>
    </xf>
    <xf numFmtId="0" fontId="2" fillId="0" borderId="10" xfId="0" applyFont="1" applyBorder="1" applyAlignment="1">
      <alignment horizontal="left" vertical="center" wrapText="1" readingOrder="1"/>
    </xf>
    <xf numFmtId="0" fontId="0" fillId="0" borderId="10" xfId="0" applyBorder="1" applyAlignment="1">
      <alignment horizontal="left" vertical="center" wrapText="1"/>
    </xf>
    <xf numFmtId="0" fontId="0" fillId="0" borderId="10" xfId="0" applyBorder="1" applyAlignment="1">
      <alignment horizontal="left" vertical="center"/>
    </xf>
    <xf numFmtId="0" fontId="0" fillId="2" borderId="2" xfId="0" applyFill="1" applyBorder="1" applyAlignment="1">
      <alignment vertical="center" wrapText="1"/>
    </xf>
    <xf numFmtId="0" fontId="0" fillId="0" borderId="2" xfId="0" applyBorder="1"/>
    <xf numFmtId="0" fontId="0" fillId="0" borderId="2" xfId="0" applyBorder="1" applyAlignment="1">
      <alignment vertical="center" wrapText="1"/>
    </xf>
    <xf numFmtId="0" fontId="6" fillId="0" borderId="2" xfId="1" applyBorder="1" applyAlignment="1">
      <alignment vertical="center" wrapText="1"/>
    </xf>
    <xf numFmtId="0" fontId="0" fillId="0" borderId="0" xfId="0" applyAlignment="1">
      <alignment vertical="center"/>
    </xf>
    <xf numFmtId="0" fontId="6" fillId="0" borderId="2" xfId="1" applyBorder="1"/>
    <xf numFmtId="0" fontId="0" fillId="0" borderId="10" xfId="0" applyBorder="1" applyAlignment="1">
      <alignment vertical="center" wrapText="1"/>
    </xf>
    <xf numFmtId="0" fontId="0" fillId="0" borderId="0" xfId="0" applyAlignment="1">
      <alignment horizontal="left" vertical="center"/>
    </xf>
    <xf numFmtId="0" fontId="2" fillId="0" borderId="2" xfId="0" applyFont="1" applyBorder="1" applyAlignment="1">
      <alignment horizontal="left" vertical="center" wrapText="1" readingOrder="1"/>
    </xf>
    <xf numFmtId="0" fontId="0" fillId="0" borderId="2" xfId="0" applyBorder="1" applyAlignment="1">
      <alignment horizontal="left" vertical="center"/>
    </xf>
    <xf numFmtId="0" fontId="0" fillId="0" borderId="2" xfId="0" applyBorder="1" applyAlignment="1">
      <alignment horizontal="left" vertical="center" wrapText="1"/>
    </xf>
    <xf numFmtId="0" fontId="7" fillId="6" borderId="2" xfId="0" applyFont="1" applyFill="1" applyBorder="1" applyAlignment="1">
      <alignment horizontal="center" vertical="center" wrapText="1"/>
    </xf>
    <xf numFmtId="0" fontId="7" fillId="0" borderId="2" xfId="0" applyFont="1" applyBorder="1" applyAlignment="1">
      <alignment horizontal="center" vertical="top" wrapText="1"/>
    </xf>
    <xf numFmtId="0" fontId="1" fillId="14" borderId="2" xfId="0" applyFont="1" applyFill="1" applyBorder="1" applyAlignment="1">
      <alignment horizontal="center" vertical="top" wrapText="1"/>
    </xf>
    <xf numFmtId="0" fontId="7" fillId="6" borderId="2" xfId="0" applyFont="1" applyFill="1" applyBorder="1" applyAlignment="1">
      <alignment horizontal="center" wrapText="1"/>
    </xf>
    <xf numFmtId="0" fontId="7" fillId="9" borderId="2" xfId="0" applyFont="1" applyFill="1" applyBorder="1" applyAlignment="1">
      <alignment horizontal="center" vertical="top" wrapText="1"/>
    </xf>
    <xf numFmtId="0" fontId="1" fillId="10" borderId="2" xfId="0" applyFont="1" applyFill="1" applyBorder="1" applyAlignment="1">
      <alignment horizontal="center" vertical="center"/>
    </xf>
    <xf numFmtId="0" fontId="1" fillId="9"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12" borderId="2" xfId="0" applyFont="1" applyFill="1" applyBorder="1" applyAlignment="1">
      <alignment horizontal="center" vertical="center"/>
    </xf>
    <xf numFmtId="0" fontId="0" fillId="0" borderId="0" xfId="0" applyAlignment="1">
      <alignment horizontal="center"/>
    </xf>
    <xf numFmtId="0" fontId="0" fillId="0" borderId="2" xfId="0" applyBorder="1" applyAlignment="1">
      <alignment horizontal="center" vertical="center"/>
    </xf>
    <xf numFmtId="0" fontId="1" fillId="13" borderId="2" xfId="0" applyFont="1" applyFill="1" applyBorder="1" applyAlignment="1">
      <alignment horizontal="left" vertical="center"/>
    </xf>
    <xf numFmtId="0" fontId="8" fillId="13" borderId="2" xfId="0" applyFont="1" applyFill="1" applyBorder="1" applyAlignment="1">
      <alignment horizontal="center" vertical="center" wrapText="1"/>
    </xf>
    <xf numFmtId="0" fontId="8" fillId="13" borderId="2" xfId="0" applyFont="1" applyFill="1" applyBorder="1" applyAlignment="1">
      <alignment horizontal="left" vertical="center" wrapText="1"/>
    </xf>
    <xf numFmtId="0" fontId="5" fillId="0" borderId="5" xfId="0" applyFont="1" applyBorder="1" applyAlignment="1">
      <alignment vertical="center" wrapText="1"/>
    </xf>
    <xf numFmtId="0" fontId="5" fillId="0" borderId="5" xfId="0" applyFont="1" applyBorder="1" applyAlignment="1">
      <alignment horizontal="left" vertical="center" wrapText="1"/>
    </xf>
    <xf numFmtId="0" fontId="10" fillId="0" borderId="2" xfId="0" applyFont="1" applyBorder="1" applyAlignment="1">
      <alignment horizontal="left" vertical="center"/>
    </xf>
    <xf numFmtId="0" fontId="0" fillId="0" borderId="2" xfId="0" applyBorder="1" applyAlignment="1">
      <alignment horizontal="left" vertical="center" wrapText="1" readingOrder="1"/>
    </xf>
    <xf numFmtId="0" fontId="9" fillId="0" borderId="0" xfId="0" applyFont="1" applyAlignment="1">
      <alignment vertical="center" wrapText="1"/>
    </xf>
    <xf numFmtId="0" fontId="8" fillId="13" borderId="2" xfId="0" applyFont="1" applyFill="1" applyBorder="1" applyAlignment="1">
      <alignment horizontal="left" vertical="center"/>
    </xf>
    <xf numFmtId="0" fontId="8" fillId="13" borderId="11" xfId="0" applyFont="1" applyFill="1" applyBorder="1" applyAlignment="1">
      <alignment horizontal="center" vertical="center"/>
    </xf>
    <xf numFmtId="0" fontId="8" fillId="13" borderId="12" xfId="0" applyFont="1" applyFill="1" applyBorder="1" applyAlignment="1">
      <alignment horizontal="center" vertical="center"/>
    </xf>
    <xf numFmtId="0" fontId="7" fillId="5"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6" borderId="1" xfId="0" applyFont="1" applyFill="1" applyBorder="1" applyAlignment="1">
      <alignment horizontal="center" vertical="center"/>
    </xf>
    <xf numFmtId="0" fontId="6" fillId="0" borderId="0" xfId="1"/>
    <xf numFmtId="0" fontId="5" fillId="0" borderId="2" xfId="0" applyFont="1" applyBorder="1" applyAlignment="1">
      <alignment horizontal="left" vertical="center" wrapText="1"/>
    </xf>
    <xf numFmtId="0" fontId="5" fillId="0" borderId="2" xfId="0" applyFont="1" applyBorder="1" applyAlignment="1">
      <alignment horizontal="center" vertical="top" wrapText="1"/>
    </xf>
    <xf numFmtId="0" fontId="4" fillId="0" borderId="2" xfId="0" applyFont="1" applyBorder="1" applyAlignment="1">
      <alignment horizontal="center" vertical="top" wrapText="1"/>
    </xf>
    <xf numFmtId="0" fontId="4" fillId="12" borderId="2" xfId="0" applyFont="1" applyFill="1" applyBorder="1" applyAlignment="1">
      <alignment horizontal="center" vertical="top" wrapText="1"/>
    </xf>
    <xf numFmtId="0" fontId="4" fillId="0" borderId="5" xfId="0" applyFont="1" applyBorder="1" applyAlignment="1">
      <alignment horizontal="left" vertical="center" wrapText="1"/>
    </xf>
  </cellXfs>
  <cellStyles count="2">
    <cellStyle name="Hyperlink" xfId="1" builtinId="8"/>
    <cellStyle name="Normal" xfId="0" builtinId="0"/>
  </cellStyles>
  <dxfs count="9">
    <dxf>
      <font>
        <color theme="0"/>
      </font>
      <fill>
        <patternFill>
          <bgColor rgb="FFC00000"/>
        </patternFill>
      </fill>
    </dxf>
    <dxf>
      <font>
        <color theme="1"/>
      </font>
      <fill>
        <patternFill>
          <bgColor rgb="FFFFC000"/>
        </patternFill>
      </fill>
    </dxf>
    <dxf>
      <font>
        <color theme="1"/>
      </font>
      <fill>
        <patternFill>
          <bgColor rgb="FFFFFF00"/>
        </patternFill>
      </fill>
    </dxf>
    <dxf>
      <font>
        <color theme="0"/>
      </font>
      <fill>
        <patternFill>
          <bgColor rgb="FF00B050"/>
        </patternFill>
      </fill>
    </dxf>
    <dxf>
      <font>
        <color theme="0"/>
      </font>
      <fill>
        <patternFill>
          <bgColor rgb="FF92D050"/>
        </patternFill>
      </fill>
    </dxf>
    <dxf>
      <fill>
        <patternFill>
          <bgColor rgb="FFC00000"/>
        </patternFill>
      </fill>
    </dxf>
    <dxf>
      <fill>
        <patternFill>
          <bgColor rgb="FFFF0000"/>
        </patternFill>
      </fill>
    </dxf>
    <dxf>
      <fill>
        <patternFill>
          <bgColor rgb="FFFFC0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116541</xdr:colOff>
      <xdr:row>0</xdr:row>
      <xdr:rowOff>56030</xdr:rowOff>
    </xdr:from>
    <xdr:to>
      <xdr:col>24</xdr:col>
      <xdr:colOff>192741</xdr:colOff>
      <xdr:row>13</xdr:row>
      <xdr:rowOff>286535</xdr:rowOff>
    </xdr:to>
    <xdr:pic>
      <xdr:nvPicPr>
        <xdr:cNvPr id="4" name="Picture 1">
          <a:extLst>
            <a:ext uri="{FF2B5EF4-FFF2-40B4-BE49-F238E27FC236}">
              <a16:creationId xmlns:a16="http://schemas.microsoft.com/office/drawing/2014/main" id="{E0442132-4547-4EE4-BA57-D59D4CB3257D}"/>
            </a:ext>
            <a:ext uri="{147F2762-F138-4A5C-976F-8EAC2B608ADB}">
              <a16:predDERef xmlns:a16="http://schemas.microsoft.com/office/drawing/2014/main" pred="{D4514904-072C-6C82-D880-BC3436E9162E}"/>
            </a:ext>
          </a:extLst>
        </xdr:cNvPr>
        <xdr:cNvPicPr>
          <a:picLocks noChangeAspect="1"/>
        </xdr:cNvPicPr>
      </xdr:nvPicPr>
      <xdr:blipFill>
        <a:blip xmlns:r="http://schemas.openxmlformats.org/officeDocument/2006/relationships" r:embed="rId1"/>
        <a:stretch>
          <a:fillRect/>
        </a:stretch>
      </xdr:blipFill>
      <xdr:spPr>
        <a:xfrm>
          <a:off x="11241741" y="56030"/>
          <a:ext cx="4953000" cy="3245336"/>
        </a:xfrm>
        <a:prstGeom prst="rect">
          <a:avLst/>
        </a:prstGeom>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ai.google.dev/gemini-api/docs/rate-limits" TargetMode="External"/><Relationship Id="rId2" Type="http://schemas.openxmlformats.org/officeDocument/2006/relationships/hyperlink" Target="https://www.mdpi.com/2673-6470/5/2/14" TargetMode="External"/><Relationship Id="rId1" Type="http://schemas.openxmlformats.org/officeDocument/2006/relationships/hyperlink" Target="https://seads.adb.org/articles/how-philippines-helping-tech-startups" TargetMode="External"/><Relationship Id="rId4" Type="http://schemas.openxmlformats.org/officeDocument/2006/relationships/hyperlink" Target="https://www.nngroup.com/articles/why-you-only-need-to-test-with-5-us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D11E-DE50-4545-A6AA-F1E4B7835A41}">
  <dimension ref="B2:N20"/>
  <sheetViews>
    <sheetView topLeftCell="A6" zoomScale="92" zoomScaleNormal="70" workbookViewId="0">
      <selection activeCell="O11" sqref="O11"/>
    </sheetView>
  </sheetViews>
  <sheetFormatPr defaultRowHeight="13.15"/>
  <cols>
    <col min="1" max="1" width="8.85546875" customWidth="1"/>
    <col min="2" max="2" width="12.5703125" style="49" bestFit="1" customWidth="1"/>
    <col min="3" max="4" width="35.5703125" style="35" customWidth="1"/>
    <col min="5" max="5" width="27.28515625" style="35" customWidth="1"/>
    <col min="6" max="6" width="12.42578125" style="35" customWidth="1"/>
    <col min="7" max="8" width="8.85546875" style="35" customWidth="1"/>
    <col min="9" max="9" width="16.42578125" style="35" hidden="1" customWidth="1"/>
    <col min="10" max="10" width="43.140625" style="35" customWidth="1"/>
    <col min="11" max="11" width="30.5703125" style="35" customWidth="1"/>
    <col min="12" max="12" width="24.42578125" style="35" bestFit="1" customWidth="1"/>
  </cols>
  <sheetData>
    <row r="2" spans="2:14">
      <c r="B2" s="60" t="s">
        <v>0</v>
      </c>
      <c r="C2" s="60"/>
      <c r="D2" s="60"/>
      <c r="E2" s="61"/>
      <c r="F2" s="59" t="s">
        <v>1</v>
      </c>
      <c r="G2" s="59"/>
      <c r="H2" s="59"/>
      <c r="I2" s="59" t="s">
        <v>2</v>
      </c>
      <c r="J2" s="59"/>
      <c r="K2" s="59"/>
      <c r="L2" s="51"/>
    </row>
    <row r="3" spans="2:14" ht="26.45">
      <c r="B3" s="52" t="s">
        <v>3</v>
      </c>
      <c r="C3" s="53" t="s">
        <v>4</v>
      </c>
      <c r="D3" s="53" t="s">
        <v>5</v>
      </c>
      <c r="E3" s="53" t="s">
        <v>6</v>
      </c>
      <c r="F3" s="53" t="s">
        <v>7</v>
      </c>
      <c r="G3" s="53" t="s">
        <v>8</v>
      </c>
      <c r="H3" s="53" t="s">
        <v>9</v>
      </c>
      <c r="I3" s="53" t="s">
        <v>10</v>
      </c>
      <c r="J3" s="53" t="s">
        <v>11</v>
      </c>
      <c r="K3" s="53" t="s">
        <v>12</v>
      </c>
      <c r="L3" s="53" t="s">
        <v>13</v>
      </c>
    </row>
    <row r="4" spans="2:14" ht="39.6">
      <c r="B4" s="50">
        <v>1</v>
      </c>
      <c r="C4" s="36" t="s">
        <v>14</v>
      </c>
      <c r="D4" s="24" t="s">
        <v>15</v>
      </c>
      <c r="E4" s="36" t="s">
        <v>16</v>
      </c>
      <c r="F4" s="36">
        <v>5</v>
      </c>
      <c r="G4" s="36">
        <v>5</v>
      </c>
      <c r="H4" s="44">
        <v>25</v>
      </c>
      <c r="I4" s="37" t="s">
        <v>17</v>
      </c>
      <c r="J4" s="36" t="s">
        <v>18</v>
      </c>
      <c r="K4" s="36" t="s">
        <v>19</v>
      </c>
      <c r="L4" s="36" t="s">
        <v>20</v>
      </c>
    </row>
    <row r="5" spans="2:14" ht="118.9">
      <c r="B5" s="50">
        <v>2</v>
      </c>
      <c r="C5" s="36" t="s">
        <v>21</v>
      </c>
      <c r="D5" s="36" t="s">
        <v>22</v>
      </c>
      <c r="E5" s="38" t="s">
        <v>23</v>
      </c>
      <c r="F5" s="36">
        <v>5</v>
      </c>
      <c r="G5" s="36">
        <v>5</v>
      </c>
      <c r="H5" s="44">
        <v>25</v>
      </c>
      <c r="I5" s="37" t="s">
        <v>17</v>
      </c>
      <c r="J5" s="36" t="s">
        <v>24</v>
      </c>
      <c r="K5" s="36" t="s">
        <v>25</v>
      </c>
      <c r="L5" s="36" t="s">
        <v>26</v>
      </c>
      <c r="N5" s="1"/>
    </row>
    <row r="6" spans="2:14" ht="52.9">
      <c r="B6" s="50">
        <v>3</v>
      </c>
      <c r="C6" s="38" t="s">
        <v>27</v>
      </c>
      <c r="D6" s="38" t="s">
        <v>28</v>
      </c>
      <c r="E6" s="38" t="s">
        <v>23</v>
      </c>
      <c r="F6" s="36">
        <v>3.25</v>
      </c>
      <c r="G6" s="36">
        <v>5</v>
      </c>
      <c r="H6" s="45">
        <v>16.25</v>
      </c>
      <c r="I6" s="37"/>
      <c r="J6" s="10" t="s">
        <v>29</v>
      </c>
      <c r="K6" s="36" t="s">
        <v>30</v>
      </c>
      <c r="L6" s="36" t="s">
        <v>26</v>
      </c>
    </row>
    <row r="7" spans="2:14" ht="39.6">
      <c r="B7" s="50">
        <v>4</v>
      </c>
      <c r="C7" s="36" t="s">
        <v>31</v>
      </c>
      <c r="D7" s="36" t="s">
        <v>32</v>
      </c>
      <c r="E7" s="38" t="s">
        <v>33</v>
      </c>
      <c r="F7" s="37">
        <v>3</v>
      </c>
      <c r="G7" s="37">
        <v>5</v>
      </c>
      <c r="H7" s="45">
        <v>15</v>
      </c>
      <c r="I7" s="37"/>
      <c r="J7" s="2" t="s">
        <v>34</v>
      </c>
      <c r="K7" s="38" t="s">
        <v>35</v>
      </c>
      <c r="L7" s="37" t="s">
        <v>36</v>
      </c>
    </row>
    <row r="8" spans="2:14" ht="26.45">
      <c r="B8" s="50">
        <v>5</v>
      </c>
      <c r="C8" s="36" t="s">
        <v>37</v>
      </c>
      <c r="D8" s="36" t="s">
        <v>38</v>
      </c>
      <c r="E8" s="38" t="s">
        <v>33</v>
      </c>
      <c r="F8" s="36">
        <v>3</v>
      </c>
      <c r="G8" s="36">
        <v>5</v>
      </c>
      <c r="H8" s="45">
        <v>15</v>
      </c>
      <c r="I8" s="37"/>
      <c r="J8" s="2" t="s">
        <v>39</v>
      </c>
      <c r="K8" s="36" t="s">
        <v>40</v>
      </c>
      <c r="L8" s="36" t="s">
        <v>26</v>
      </c>
    </row>
    <row r="9" spans="2:14" ht="36" customHeight="1">
      <c r="B9" s="50">
        <v>6</v>
      </c>
      <c r="C9" s="36" t="s">
        <v>41</v>
      </c>
      <c r="D9" s="36" t="s">
        <v>42</v>
      </c>
      <c r="E9" s="36" t="s">
        <v>43</v>
      </c>
      <c r="F9" s="37">
        <v>2.75</v>
      </c>
      <c r="G9" s="37">
        <v>4.5</v>
      </c>
      <c r="H9" s="46">
        <v>12.375</v>
      </c>
      <c r="I9" s="37"/>
      <c r="J9" s="2" t="s">
        <v>44</v>
      </c>
      <c r="K9" s="2" t="s">
        <v>45</v>
      </c>
      <c r="L9" s="37" t="s">
        <v>46</v>
      </c>
    </row>
    <row r="10" spans="2:14" ht="52.9">
      <c r="B10" s="50">
        <v>7</v>
      </c>
      <c r="C10" s="38" t="s">
        <v>47</v>
      </c>
      <c r="D10" s="38" t="s">
        <v>48</v>
      </c>
      <c r="E10" s="38" t="s">
        <v>48</v>
      </c>
      <c r="F10" s="36">
        <v>2</v>
      </c>
      <c r="G10" s="36">
        <v>5</v>
      </c>
      <c r="H10" s="46">
        <v>10</v>
      </c>
      <c r="I10" s="37"/>
      <c r="J10" s="10" t="s">
        <v>49</v>
      </c>
      <c r="K10" s="36" t="s">
        <v>50</v>
      </c>
      <c r="L10" s="36" t="s">
        <v>26</v>
      </c>
    </row>
    <row r="11" spans="2:14" ht="52.9">
      <c r="B11" s="50">
        <v>8</v>
      </c>
      <c r="C11" s="38" t="s">
        <v>51</v>
      </c>
      <c r="D11" s="38" t="s">
        <v>52</v>
      </c>
      <c r="E11" s="38" t="s">
        <v>48</v>
      </c>
      <c r="F11" s="37">
        <v>2.25</v>
      </c>
      <c r="G11" s="37">
        <v>3.75</v>
      </c>
      <c r="H11" s="47">
        <v>8.4375</v>
      </c>
      <c r="I11" s="37"/>
      <c r="J11" s="11" t="s">
        <v>53</v>
      </c>
      <c r="K11" s="38" t="s">
        <v>54</v>
      </c>
      <c r="L11" s="37" t="s">
        <v>36</v>
      </c>
    </row>
    <row r="12" spans="2:14" ht="52.9">
      <c r="B12" s="50">
        <v>9</v>
      </c>
      <c r="C12" s="38" t="s">
        <v>55</v>
      </c>
      <c r="D12" s="38" t="s">
        <v>56</v>
      </c>
      <c r="E12" s="38" t="s">
        <v>33</v>
      </c>
      <c r="F12" s="57">
        <v>1.25</v>
      </c>
      <c r="G12" s="57">
        <v>5</v>
      </c>
      <c r="H12" s="47">
        <v>6.25</v>
      </c>
      <c r="I12" s="56"/>
      <c r="J12" s="10" t="s">
        <v>57</v>
      </c>
      <c r="K12" s="36" t="s">
        <v>58</v>
      </c>
      <c r="L12" s="36" t="s">
        <v>26</v>
      </c>
    </row>
    <row r="13" spans="2:14" ht="39.6">
      <c r="B13" s="50">
        <v>10</v>
      </c>
      <c r="C13" s="38" t="s">
        <v>59</v>
      </c>
      <c r="D13" s="38" t="s">
        <v>60</v>
      </c>
      <c r="E13" s="36" t="s">
        <v>16</v>
      </c>
      <c r="F13" s="37">
        <v>1.25</v>
      </c>
      <c r="G13" s="37">
        <v>4.25</v>
      </c>
      <c r="H13" s="47">
        <v>5.3125</v>
      </c>
      <c r="I13" s="37"/>
      <c r="J13" s="10" t="s">
        <v>61</v>
      </c>
      <c r="K13" s="38" t="s">
        <v>62</v>
      </c>
      <c r="L13" s="37" t="s">
        <v>63</v>
      </c>
    </row>
    <row r="14" spans="2:14" ht="52.9">
      <c r="B14" s="50">
        <v>11</v>
      </c>
      <c r="C14" s="38" t="s">
        <v>64</v>
      </c>
      <c r="D14" s="38" t="s">
        <v>65</v>
      </c>
      <c r="E14" s="38" t="s">
        <v>33</v>
      </c>
      <c r="F14" s="37">
        <v>1.5</v>
      </c>
      <c r="G14" s="37">
        <v>3.5</v>
      </c>
      <c r="H14" s="47">
        <v>5.25</v>
      </c>
      <c r="I14" s="37"/>
      <c r="J14" s="10" t="s">
        <v>66</v>
      </c>
      <c r="K14" s="38" t="s">
        <v>67</v>
      </c>
      <c r="L14" s="37" t="s">
        <v>20</v>
      </c>
    </row>
    <row r="15" spans="2:14" ht="66">
      <c r="B15" s="50">
        <v>12</v>
      </c>
      <c r="C15" s="36" t="s">
        <v>68</v>
      </c>
      <c r="D15" s="36" t="s">
        <v>69</v>
      </c>
      <c r="E15" s="38" t="s">
        <v>23</v>
      </c>
      <c r="F15" s="37">
        <v>1.5</v>
      </c>
      <c r="G15" s="37">
        <v>3.25</v>
      </c>
      <c r="H15" s="47">
        <v>4.875</v>
      </c>
      <c r="I15" s="37"/>
      <c r="J15" s="2" t="s">
        <v>70</v>
      </c>
      <c r="K15" s="38" t="s">
        <v>71</v>
      </c>
      <c r="L15" s="37" t="s">
        <v>26</v>
      </c>
    </row>
    <row r="16" spans="2:14" ht="79.150000000000006">
      <c r="B16" s="50">
        <v>13</v>
      </c>
      <c r="C16" s="38" t="s">
        <v>72</v>
      </c>
      <c r="D16" s="38" t="s">
        <v>73</v>
      </c>
      <c r="E16" s="38" t="s">
        <v>48</v>
      </c>
      <c r="F16" s="37">
        <v>1.5</v>
      </c>
      <c r="G16" s="37">
        <v>3</v>
      </c>
      <c r="H16" s="47">
        <v>4.5</v>
      </c>
      <c r="I16" s="37"/>
      <c r="J16" s="10" t="s">
        <v>74</v>
      </c>
      <c r="K16" s="38" t="s">
        <v>75</v>
      </c>
      <c r="L16" s="37" t="s">
        <v>26</v>
      </c>
    </row>
    <row r="17" spans="2:12" ht="79.150000000000006">
      <c r="B17" s="50">
        <v>14</v>
      </c>
      <c r="C17" s="38" t="s">
        <v>76</v>
      </c>
      <c r="D17" s="38" t="s">
        <v>77</v>
      </c>
      <c r="E17" s="38" t="s">
        <v>48</v>
      </c>
      <c r="F17" s="37">
        <v>1.25</v>
      </c>
      <c r="G17" s="37">
        <v>3.5</v>
      </c>
      <c r="H17" s="47">
        <v>4.375</v>
      </c>
      <c r="I17" s="37"/>
      <c r="J17" s="10" t="s">
        <v>78</v>
      </c>
      <c r="K17" s="10" t="s">
        <v>79</v>
      </c>
      <c r="L17" s="37" t="s">
        <v>36</v>
      </c>
    </row>
    <row r="18" spans="2:12" ht="66">
      <c r="B18" s="50">
        <v>15</v>
      </c>
      <c r="C18" s="38" t="s">
        <v>80</v>
      </c>
      <c r="D18" s="58" t="s">
        <v>81</v>
      </c>
      <c r="E18" s="36" t="s">
        <v>82</v>
      </c>
      <c r="F18" s="37">
        <v>1</v>
      </c>
      <c r="G18" s="37">
        <v>4</v>
      </c>
      <c r="H18" s="47">
        <v>4</v>
      </c>
      <c r="J18" s="12" t="s">
        <v>83</v>
      </c>
      <c r="K18" s="38" t="s">
        <v>84</v>
      </c>
      <c r="L18" s="37" t="s">
        <v>46</v>
      </c>
    </row>
    <row r="19" spans="2:12" ht="79.150000000000006">
      <c r="B19" s="50">
        <v>16</v>
      </c>
      <c r="C19" s="38" t="s">
        <v>85</v>
      </c>
      <c r="D19" s="38" t="s">
        <v>86</v>
      </c>
      <c r="E19" s="38" t="s">
        <v>23</v>
      </c>
      <c r="F19" s="37">
        <v>1</v>
      </c>
      <c r="G19" s="37">
        <v>3.25</v>
      </c>
      <c r="H19" s="48">
        <v>3.25</v>
      </c>
      <c r="I19" s="37"/>
      <c r="J19" s="10" t="s">
        <v>87</v>
      </c>
      <c r="K19" s="38" t="s">
        <v>88</v>
      </c>
      <c r="L19" s="37" t="s">
        <v>26</v>
      </c>
    </row>
    <row r="20" spans="2:12" ht="66">
      <c r="B20" s="50">
        <v>17</v>
      </c>
      <c r="C20" s="67" t="s">
        <v>89</v>
      </c>
      <c r="D20" s="38" t="s">
        <v>90</v>
      </c>
      <c r="E20" s="38" t="s">
        <v>23</v>
      </c>
      <c r="F20" s="37">
        <v>1.5</v>
      </c>
      <c r="G20" s="37">
        <v>2</v>
      </c>
      <c r="H20" s="48">
        <v>3</v>
      </c>
      <c r="I20" s="37"/>
      <c r="J20" s="10" t="s">
        <v>91</v>
      </c>
      <c r="K20" s="38" t="s">
        <v>92</v>
      </c>
      <c r="L20" s="37" t="s">
        <v>36</v>
      </c>
    </row>
  </sheetData>
  <mergeCells count="3">
    <mergeCell ref="F2:H2"/>
    <mergeCell ref="I2:K2"/>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BB80-7A35-4FEE-830B-927B7BF02559}">
  <dimension ref="B2:P20"/>
  <sheetViews>
    <sheetView topLeftCell="E1" zoomScale="85" zoomScaleNormal="85" workbookViewId="0">
      <selection activeCell="S18" sqref="S11:U18"/>
    </sheetView>
  </sheetViews>
  <sheetFormatPr defaultRowHeight="13.15"/>
  <cols>
    <col min="1" max="1" width="6" customWidth="1"/>
    <col min="2" max="2" width="5.42578125" bestFit="1" customWidth="1"/>
    <col min="3" max="3" width="26.140625" customWidth="1"/>
    <col min="4" max="4" width="24.140625" bestFit="1" customWidth="1"/>
    <col min="5" max="5" width="8.7109375" bestFit="1" customWidth="1"/>
    <col min="6" max="6" width="8.42578125" customWidth="1"/>
    <col min="7" max="7" width="8.42578125" bestFit="1" customWidth="1"/>
    <col min="8" max="8" width="5" bestFit="1" customWidth="1"/>
    <col min="9" max="9" width="10.28515625" customWidth="1"/>
    <col min="10" max="10" width="8.7109375" bestFit="1" customWidth="1"/>
    <col min="11" max="11" width="7" bestFit="1" customWidth="1"/>
    <col min="12" max="12" width="8.42578125" bestFit="1" customWidth="1"/>
    <col min="13" max="13" width="5.5703125" bestFit="1" customWidth="1"/>
    <col min="14" max="14" width="9.7109375" customWidth="1"/>
    <col min="15" max="15" width="7.5703125" customWidth="1"/>
    <col min="16" max="16" width="17.28515625" customWidth="1"/>
  </cols>
  <sheetData>
    <row r="2" spans="2:16">
      <c r="B2" s="62" t="s">
        <v>0</v>
      </c>
      <c r="C2" s="62"/>
      <c r="D2" s="62"/>
      <c r="E2" s="63" t="s">
        <v>93</v>
      </c>
      <c r="F2" s="63"/>
      <c r="G2" s="63"/>
      <c r="H2" s="63"/>
      <c r="I2" s="63"/>
      <c r="J2" s="64" t="s">
        <v>94</v>
      </c>
      <c r="K2" s="64"/>
      <c r="L2" s="64"/>
      <c r="M2" s="64"/>
      <c r="N2" s="64"/>
      <c r="O2" s="65" t="s">
        <v>95</v>
      </c>
      <c r="P2" s="65"/>
    </row>
    <row r="3" spans="2:16" ht="26.45">
      <c r="B3" s="39" t="s">
        <v>96</v>
      </c>
      <c r="C3" s="39" t="s">
        <v>4</v>
      </c>
      <c r="D3" s="39" t="s">
        <v>97</v>
      </c>
      <c r="E3" s="42" t="s">
        <v>98</v>
      </c>
      <c r="F3" s="42" t="s">
        <v>99</v>
      </c>
      <c r="G3" s="42" t="s">
        <v>100</v>
      </c>
      <c r="H3" s="42" t="s">
        <v>101</v>
      </c>
      <c r="I3" s="39" t="s">
        <v>102</v>
      </c>
      <c r="J3" s="42" t="s">
        <v>98</v>
      </c>
      <c r="K3" s="42" t="s">
        <v>99</v>
      </c>
      <c r="L3" s="42" t="s">
        <v>100</v>
      </c>
      <c r="M3" s="42" t="s">
        <v>103</v>
      </c>
      <c r="N3" s="39" t="s">
        <v>102</v>
      </c>
      <c r="O3" s="42" t="s">
        <v>95</v>
      </c>
      <c r="P3" s="42" t="s">
        <v>104</v>
      </c>
    </row>
    <row r="4" spans="2:16">
      <c r="B4" s="68">
        <v>1</v>
      </c>
      <c r="C4" s="36" t="s">
        <v>14</v>
      </c>
      <c r="D4" s="36" t="s">
        <v>16</v>
      </c>
      <c r="E4" s="68">
        <v>5</v>
      </c>
      <c r="F4" s="68">
        <v>5</v>
      </c>
      <c r="G4" s="68">
        <v>5</v>
      </c>
      <c r="H4" s="68">
        <v>5</v>
      </c>
      <c r="I4" s="41">
        <f>AVERAGE(E4:H4)</f>
        <v>5</v>
      </c>
      <c r="J4" s="68">
        <v>5</v>
      </c>
      <c r="K4" s="68">
        <v>5</v>
      </c>
      <c r="L4" s="68">
        <v>5</v>
      </c>
      <c r="M4" s="68">
        <v>5</v>
      </c>
      <c r="N4" s="41">
        <f>AVERAGE(J4:M4)</f>
        <v>5</v>
      </c>
      <c r="O4" s="69">
        <f>I4*N4</f>
        <v>25</v>
      </c>
      <c r="P4" s="40" t="str">
        <f>IF(AND(O4&gt;=20,O4&lt;=25),"Extreme",
IF(AND(O4&gt;=15,O4&lt;=19),"Very High",
IF(AND(O4&gt;=10,O4&lt;=14),"High",
IF(AND(O4&gt;=4,O4&lt;=9),"Medium",
IF(AND(O4&gt;=3,O4&lt;4),"Low","")))))</f>
        <v>Extreme</v>
      </c>
    </row>
    <row r="5" spans="2:16">
      <c r="B5" s="68">
        <v>2</v>
      </c>
      <c r="C5" s="36" t="s">
        <v>21</v>
      </c>
      <c r="D5" s="36" t="s">
        <v>16</v>
      </c>
      <c r="E5" s="68">
        <v>5</v>
      </c>
      <c r="F5" s="68">
        <v>5</v>
      </c>
      <c r="G5" s="68">
        <v>5</v>
      </c>
      <c r="H5" s="68">
        <v>5</v>
      </c>
      <c r="I5" s="41">
        <f>AVERAGE(E5:H5)</f>
        <v>5</v>
      </c>
      <c r="J5" s="68">
        <v>5</v>
      </c>
      <c r="K5" s="68">
        <v>5</v>
      </c>
      <c r="L5" s="68">
        <v>5</v>
      </c>
      <c r="M5" s="68">
        <v>5</v>
      </c>
      <c r="N5" s="41">
        <f>AVERAGE(J5:M5)</f>
        <v>5</v>
      </c>
      <c r="O5" s="69">
        <f>I5*N5</f>
        <v>25</v>
      </c>
      <c r="P5" s="40" t="str">
        <f t="shared" ref="P5:P20" si="0">IF(AND(O5&gt;=20,O5&lt;=25),"Extreme",
IF(AND(O5&gt;=15,O5&lt;=19),"Very High",
IF(AND(O5&gt;=10,O5&lt;=14),"High",
IF(AND(O5&gt;=4,O5&lt;=9),"Medium",
IF(AND(O5&gt;=3,O5&lt;4),"Low","")))))</f>
        <v>Extreme</v>
      </c>
    </row>
    <row r="6" spans="2:16" ht="26.45">
      <c r="B6" s="68">
        <v>3</v>
      </c>
      <c r="C6" s="38" t="s">
        <v>105</v>
      </c>
      <c r="D6" s="38" t="s">
        <v>23</v>
      </c>
      <c r="E6" s="68">
        <v>3</v>
      </c>
      <c r="F6" s="68">
        <v>4</v>
      </c>
      <c r="G6" s="68">
        <v>3</v>
      </c>
      <c r="H6" s="68">
        <v>3</v>
      </c>
      <c r="I6" s="41">
        <f>AVERAGE(E6:H6)</f>
        <v>3.25</v>
      </c>
      <c r="J6" s="68">
        <v>5</v>
      </c>
      <c r="K6" s="68">
        <v>5</v>
      </c>
      <c r="L6" s="68">
        <v>5</v>
      </c>
      <c r="M6" s="68">
        <v>5</v>
      </c>
      <c r="N6" s="41">
        <f>AVERAGE(J6:M6)</f>
        <v>5</v>
      </c>
      <c r="O6" s="69">
        <f>I6*N6</f>
        <v>16.25</v>
      </c>
      <c r="P6" s="43" t="str">
        <f t="shared" si="0"/>
        <v>Very High</v>
      </c>
    </row>
    <row r="7" spans="2:16">
      <c r="B7" s="68">
        <v>4</v>
      </c>
      <c r="C7" s="36" t="s">
        <v>31</v>
      </c>
      <c r="D7" s="38" t="s">
        <v>33</v>
      </c>
      <c r="E7" s="68">
        <v>2</v>
      </c>
      <c r="F7" s="68">
        <v>3</v>
      </c>
      <c r="G7" s="68">
        <v>3</v>
      </c>
      <c r="H7" s="68">
        <v>4</v>
      </c>
      <c r="I7" s="41">
        <f>AVERAGE(E7:H7)</f>
        <v>3</v>
      </c>
      <c r="J7" s="68">
        <v>5</v>
      </c>
      <c r="K7" s="68">
        <v>5</v>
      </c>
      <c r="L7" s="68">
        <v>5</v>
      </c>
      <c r="M7" s="68">
        <v>5</v>
      </c>
      <c r="N7" s="41">
        <f>AVERAGE(J7:M7)</f>
        <v>5</v>
      </c>
      <c r="O7" s="69">
        <f>I7*N7</f>
        <v>15</v>
      </c>
      <c r="P7" s="43" t="str">
        <f t="shared" si="0"/>
        <v>Very High</v>
      </c>
    </row>
    <row r="8" spans="2:16">
      <c r="B8" s="68">
        <v>5</v>
      </c>
      <c r="C8" s="36" t="s">
        <v>37</v>
      </c>
      <c r="D8" s="38" t="s">
        <v>33</v>
      </c>
      <c r="E8" s="68">
        <v>3</v>
      </c>
      <c r="F8" s="68">
        <v>4</v>
      </c>
      <c r="G8" s="68">
        <v>3</v>
      </c>
      <c r="H8" s="68">
        <v>2</v>
      </c>
      <c r="I8" s="41">
        <f>AVERAGE(E8:H8)</f>
        <v>3</v>
      </c>
      <c r="J8" s="68">
        <v>5</v>
      </c>
      <c r="K8" s="68">
        <v>5</v>
      </c>
      <c r="L8" s="68">
        <v>5</v>
      </c>
      <c r="M8" s="68">
        <v>5</v>
      </c>
      <c r="N8" s="41">
        <f>AVERAGE(J8:M8)</f>
        <v>5</v>
      </c>
      <c r="O8" s="69">
        <f>I8*N8</f>
        <v>15</v>
      </c>
      <c r="P8" s="43" t="str">
        <f t="shared" si="0"/>
        <v>Very High</v>
      </c>
    </row>
    <row r="9" spans="2:16">
      <c r="B9" s="68">
        <v>6</v>
      </c>
      <c r="C9" s="36" t="s">
        <v>41</v>
      </c>
      <c r="D9" s="36" t="s">
        <v>43</v>
      </c>
      <c r="E9" s="68">
        <v>2</v>
      </c>
      <c r="F9" s="68">
        <v>3</v>
      </c>
      <c r="G9" s="68">
        <v>3</v>
      </c>
      <c r="H9" s="68">
        <v>3</v>
      </c>
      <c r="I9" s="41">
        <f>AVERAGE(E9:H9)</f>
        <v>2.75</v>
      </c>
      <c r="J9" s="68">
        <v>5</v>
      </c>
      <c r="K9" s="68">
        <v>4</v>
      </c>
      <c r="L9" s="68">
        <v>4</v>
      </c>
      <c r="M9" s="68">
        <v>5</v>
      </c>
      <c r="N9" s="41">
        <f>AVERAGE(J9:M9)</f>
        <v>4.5</v>
      </c>
      <c r="O9" s="69">
        <f>I9*N9</f>
        <v>12.375</v>
      </c>
      <c r="P9" s="43" t="str">
        <f t="shared" si="0"/>
        <v>High</v>
      </c>
    </row>
    <row r="10" spans="2:16" ht="26.45">
      <c r="B10" s="68">
        <v>7</v>
      </c>
      <c r="C10" s="38" t="s">
        <v>47</v>
      </c>
      <c r="D10" s="38" t="s">
        <v>48</v>
      </c>
      <c r="E10" s="68">
        <v>2</v>
      </c>
      <c r="F10" s="68">
        <v>2</v>
      </c>
      <c r="G10" s="68">
        <v>2</v>
      </c>
      <c r="H10" s="68">
        <v>2</v>
      </c>
      <c r="I10" s="41">
        <f>AVERAGE(E10:H10)</f>
        <v>2</v>
      </c>
      <c r="J10" s="68">
        <v>5</v>
      </c>
      <c r="K10" s="68">
        <v>5</v>
      </c>
      <c r="L10" s="68">
        <v>5</v>
      </c>
      <c r="M10" s="68">
        <v>5</v>
      </c>
      <c r="N10" s="41">
        <f>AVERAGE(J10:M10)</f>
        <v>5</v>
      </c>
      <c r="O10" s="69">
        <f>I10*N10</f>
        <v>10</v>
      </c>
      <c r="P10" s="40" t="str">
        <f t="shared" si="0"/>
        <v>High</v>
      </c>
    </row>
    <row r="11" spans="2:16" ht="26.45">
      <c r="B11" s="68">
        <v>8</v>
      </c>
      <c r="C11" s="38" t="s">
        <v>51</v>
      </c>
      <c r="D11" s="38" t="s">
        <v>48</v>
      </c>
      <c r="E11" s="68">
        <v>2</v>
      </c>
      <c r="F11" s="68">
        <v>2</v>
      </c>
      <c r="G11" s="68">
        <v>2</v>
      </c>
      <c r="H11" s="68">
        <v>3</v>
      </c>
      <c r="I11" s="41">
        <f>AVERAGE(E11:H11)</f>
        <v>2.25</v>
      </c>
      <c r="J11" s="68">
        <v>4</v>
      </c>
      <c r="K11" s="68">
        <v>3</v>
      </c>
      <c r="L11" s="68">
        <v>4</v>
      </c>
      <c r="M11" s="68">
        <v>4</v>
      </c>
      <c r="N11" s="41">
        <f>AVERAGE(J11:M11)</f>
        <v>3.75</v>
      </c>
      <c r="O11" s="69">
        <f>I11*N11</f>
        <v>8.4375</v>
      </c>
      <c r="P11" s="40" t="str">
        <f t="shared" si="0"/>
        <v>Medium</v>
      </c>
    </row>
    <row r="12" spans="2:16" ht="26.45">
      <c r="B12" s="68">
        <v>10</v>
      </c>
      <c r="C12" s="38" t="s">
        <v>55</v>
      </c>
      <c r="D12" s="38" t="s">
        <v>33</v>
      </c>
      <c r="E12" s="68">
        <v>1</v>
      </c>
      <c r="F12" s="68">
        <v>2</v>
      </c>
      <c r="G12" s="68">
        <v>1</v>
      </c>
      <c r="H12" s="68">
        <v>1</v>
      </c>
      <c r="I12" s="41">
        <f>AVERAGE(E12:H12)</f>
        <v>1.25</v>
      </c>
      <c r="J12" s="68">
        <v>5</v>
      </c>
      <c r="K12" s="68">
        <v>5</v>
      </c>
      <c r="L12" s="68">
        <v>5</v>
      </c>
      <c r="M12" s="68">
        <v>5</v>
      </c>
      <c r="N12" s="41">
        <f>AVERAGE(J12:M12)</f>
        <v>5</v>
      </c>
      <c r="O12" s="69">
        <f>I12*N12</f>
        <v>6.25</v>
      </c>
      <c r="P12" s="40" t="str">
        <f t="shared" si="0"/>
        <v>Medium</v>
      </c>
    </row>
    <row r="13" spans="2:16">
      <c r="B13" s="68">
        <v>11</v>
      </c>
      <c r="C13" s="38" t="s">
        <v>59</v>
      </c>
      <c r="D13" s="36" t="s">
        <v>16</v>
      </c>
      <c r="E13" s="68">
        <v>1</v>
      </c>
      <c r="F13" s="68">
        <v>2</v>
      </c>
      <c r="G13" s="68">
        <v>1</v>
      </c>
      <c r="H13" s="68">
        <v>1</v>
      </c>
      <c r="I13" s="41">
        <f>AVERAGE(E13:H13)</f>
        <v>1.25</v>
      </c>
      <c r="J13" s="68">
        <v>5</v>
      </c>
      <c r="K13" s="68">
        <v>4</v>
      </c>
      <c r="L13" s="68">
        <v>4</v>
      </c>
      <c r="M13" s="68">
        <v>4</v>
      </c>
      <c r="N13" s="41">
        <f>AVERAGE(J13:M13)</f>
        <v>4.25</v>
      </c>
      <c r="O13" s="69">
        <f>I13*N13</f>
        <v>5.3125</v>
      </c>
      <c r="P13" s="40" t="str">
        <f t="shared" si="0"/>
        <v>Medium</v>
      </c>
    </row>
    <row r="14" spans="2:16" ht="25.5" customHeight="1">
      <c r="B14" s="68">
        <v>12</v>
      </c>
      <c r="C14" s="38" t="s">
        <v>64</v>
      </c>
      <c r="D14" s="38" t="s">
        <v>33</v>
      </c>
      <c r="E14" s="68">
        <v>2</v>
      </c>
      <c r="F14" s="68">
        <v>1</v>
      </c>
      <c r="G14" s="68">
        <v>2</v>
      </c>
      <c r="H14" s="68">
        <v>1</v>
      </c>
      <c r="I14" s="41">
        <f>AVERAGE(E14:H14)</f>
        <v>1.5</v>
      </c>
      <c r="J14" s="68">
        <v>3</v>
      </c>
      <c r="K14" s="68">
        <v>3</v>
      </c>
      <c r="L14" s="68">
        <v>4</v>
      </c>
      <c r="M14" s="68">
        <v>4</v>
      </c>
      <c r="N14" s="41">
        <f>AVERAGE(J14:M14)</f>
        <v>3.5</v>
      </c>
      <c r="O14" s="69">
        <f>I14*N14</f>
        <v>5.25</v>
      </c>
      <c r="P14" s="40" t="str">
        <f t="shared" si="0"/>
        <v>Medium</v>
      </c>
    </row>
    <row r="15" spans="2:16" ht="26.45">
      <c r="B15" s="68">
        <v>13</v>
      </c>
      <c r="C15" s="36" t="s">
        <v>68</v>
      </c>
      <c r="D15" s="38" t="s">
        <v>23</v>
      </c>
      <c r="E15" s="68">
        <v>1</v>
      </c>
      <c r="F15" s="68">
        <v>1</v>
      </c>
      <c r="G15" s="68">
        <v>2</v>
      </c>
      <c r="H15" s="68">
        <v>2</v>
      </c>
      <c r="I15" s="41">
        <f>AVERAGE(E15:H15)</f>
        <v>1.5</v>
      </c>
      <c r="J15" s="68">
        <v>3</v>
      </c>
      <c r="K15" s="68">
        <v>3</v>
      </c>
      <c r="L15" s="68">
        <v>4</v>
      </c>
      <c r="M15" s="68">
        <v>3</v>
      </c>
      <c r="N15" s="41">
        <f>AVERAGE(J15:M15)</f>
        <v>3.25</v>
      </c>
      <c r="O15" s="69">
        <f>I15*N15</f>
        <v>4.875</v>
      </c>
      <c r="P15" s="40" t="str">
        <f t="shared" si="0"/>
        <v>Medium</v>
      </c>
    </row>
    <row r="16" spans="2:16" ht="26.45">
      <c r="B16" s="68">
        <v>14</v>
      </c>
      <c r="C16" s="38" t="s">
        <v>72</v>
      </c>
      <c r="D16" s="38" t="s">
        <v>48</v>
      </c>
      <c r="E16" s="68">
        <v>1</v>
      </c>
      <c r="F16" s="68">
        <v>1</v>
      </c>
      <c r="G16" s="68">
        <v>2</v>
      </c>
      <c r="H16" s="68">
        <v>2</v>
      </c>
      <c r="I16" s="41">
        <f>AVERAGE(E16:H16)</f>
        <v>1.5</v>
      </c>
      <c r="J16" s="68">
        <v>3</v>
      </c>
      <c r="K16" s="68">
        <v>3</v>
      </c>
      <c r="L16" s="68">
        <v>3</v>
      </c>
      <c r="M16" s="68">
        <v>3</v>
      </c>
      <c r="N16" s="41">
        <f>AVERAGE(J16:M16)</f>
        <v>3</v>
      </c>
      <c r="O16" s="69">
        <f>I16*N16</f>
        <v>4.5</v>
      </c>
      <c r="P16" s="40" t="str">
        <f t="shared" si="0"/>
        <v>Medium</v>
      </c>
    </row>
    <row r="17" spans="2:16" ht="26.45">
      <c r="B17" s="68">
        <v>15</v>
      </c>
      <c r="C17" s="38" t="s">
        <v>76</v>
      </c>
      <c r="D17" s="38" t="s">
        <v>48</v>
      </c>
      <c r="E17" s="68">
        <v>1</v>
      </c>
      <c r="F17" s="68">
        <v>1</v>
      </c>
      <c r="G17" s="68">
        <v>2</v>
      </c>
      <c r="H17" s="68">
        <v>1</v>
      </c>
      <c r="I17" s="41">
        <f>AVERAGE(E17:H17)</f>
        <v>1.25</v>
      </c>
      <c r="J17" s="68">
        <v>3</v>
      </c>
      <c r="K17" s="68">
        <v>5</v>
      </c>
      <c r="L17" s="68">
        <v>3</v>
      </c>
      <c r="M17" s="68">
        <v>3</v>
      </c>
      <c r="N17" s="41">
        <f>AVERAGE(J17:M17)</f>
        <v>3.5</v>
      </c>
      <c r="O17" s="69">
        <f>I17*N17</f>
        <v>4.375</v>
      </c>
      <c r="P17" s="40" t="str">
        <f t="shared" si="0"/>
        <v>Medium</v>
      </c>
    </row>
    <row r="18" spans="2:16">
      <c r="B18" s="68">
        <v>16</v>
      </c>
      <c r="C18" s="38" t="s">
        <v>106</v>
      </c>
      <c r="D18" s="36" t="s">
        <v>82</v>
      </c>
      <c r="E18" s="68">
        <v>1</v>
      </c>
      <c r="F18" s="68">
        <v>1</v>
      </c>
      <c r="G18" s="68">
        <v>1</v>
      </c>
      <c r="H18" s="68">
        <v>1</v>
      </c>
      <c r="I18" s="41">
        <f>AVERAGE(E18:H18)</f>
        <v>1</v>
      </c>
      <c r="J18" s="68">
        <v>4</v>
      </c>
      <c r="K18" s="68">
        <v>4</v>
      </c>
      <c r="L18" s="68">
        <v>4</v>
      </c>
      <c r="M18" s="68">
        <v>4</v>
      </c>
      <c r="N18" s="41">
        <f>AVERAGE(J18:M18)</f>
        <v>4</v>
      </c>
      <c r="O18" s="69">
        <f>I18*N18</f>
        <v>4</v>
      </c>
      <c r="P18" s="40" t="str">
        <f t="shared" si="0"/>
        <v>Medium</v>
      </c>
    </row>
    <row r="19" spans="2:16" ht="26.45">
      <c r="B19" s="68">
        <v>17</v>
      </c>
      <c r="C19" s="38" t="s">
        <v>85</v>
      </c>
      <c r="D19" s="38" t="s">
        <v>23</v>
      </c>
      <c r="E19" s="68">
        <v>1</v>
      </c>
      <c r="F19" s="68">
        <v>1</v>
      </c>
      <c r="G19" s="68">
        <v>1</v>
      </c>
      <c r="H19" s="68">
        <v>1</v>
      </c>
      <c r="I19" s="41">
        <f>AVERAGE(E19:H19)</f>
        <v>1</v>
      </c>
      <c r="J19" s="68">
        <v>4</v>
      </c>
      <c r="K19" s="68">
        <v>2</v>
      </c>
      <c r="L19" s="68">
        <v>3</v>
      </c>
      <c r="M19" s="68">
        <v>4</v>
      </c>
      <c r="N19" s="41">
        <f>AVERAGE(J19:M19)</f>
        <v>3.25</v>
      </c>
      <c r="O19" s="70">
        <f>I19*N19</f>
        <v>3.25</v>
      </c>
      <c r="P19" s="40" t="str">
        <f t="shared" si="0"/>
        <v>Low</v>
      </c>
    </row>
    <row r="20" spans="2:16" ht="26.45">
      <c r="B20" s="68">
        <v>18</v>
      </c>
      <c r="C20" s="67" t="s">
        <v>89</v>
      </c>
      <c r="D20" s="38" t="s">
        <v>23</v>
      </c>
      <c r="E20" s="68">
        <v>2</v>
      </c>
      <c r="F20" s="68">
        <v>1</v>
      </c>
      <c r="G20" s="68">
        <v>2</v>
      </c>
      <c r="H20" s="68">
        <v>1</v>
      </c>
      <c r="I20" s="41">
        <f>AVERAGE(E20:H20)</f>
        <v>1.5</v>
      </c>
      <c r="J20" s="68">
        <v>2</v>
      </c>
      <c r="K20" s="68">
        <v>2</v>
      </c>
      <c r="L20" s="68">
        <v>2</v>
      </c>
      <c r="M20" s="68">
        <v>2</v>
      </c>
      <c r="N20" s="41">
        <f>AVERAGE(J20:M20)</f>
        <v>2</v>
      </c>
      <c r="O20" s="70">
        <f>I20*N20</f>
        <v>3</v>
      </c>
      <c r="P20" s="40" t="str">
        <f t="shared" si="0"/>
        <v>Low</v>
      </c>
    </row>
  </sheetData>
  <mergeCells count="4">
    <mergeCell ref="B2:D2"/>
    <mergeCell ref="E2:I2"/>
    <mergeCell ref="J2:N2"/>
    <mergeCell ref="O2:P2"/>
  </mergeCells>
  <conditionalFormatting sqref="O4:O20">
    <cfRule type="cellIs" dxfId="8" priority="16" operator="between">
      <formula>4</formula>
      <formula>9</formula>
    </cfRule>
    <cfRule type="cellIs" dxfId="7" priority="17" operator="between">
      <formula>10</formula>
      <formula>14</formula>
    </cfRule>
    <cfRule type="cellIs" dxfId="6" priority="18" operator="between">
      <formula>15</formula>
      <formula>19</formula>
    </cfRule>
    <cfRule type="cellIs" dxfId="5" priority="19" operator="greaterThanOrEqual">
      <formula>20</formula>
    </cfRule>
  </conditionalFormatting>
  <conditionalFormatting sqref="P4:P5 P9:P20">
    <cfRule type="containsText" dxfId="4" priority="2" operator="containsText" text="Very Low">
      <formula>NOT(ISERROR(SEARCH("Very Low",P4)))</formula>
    </cfRule>
    <cfRule type="containsText" dxfId="3" priority="3" operator="containsText" text="Low">
      <formula>NOT(ISERROR(SEARCH("Low",P4)))</formula>
    </cfRule>
    <cfRule type="containsText" dxfId="2" priority="4" operator="containsText" text="Medium">
      <formula>NOT(ISERROR(SEARCH("Medium",P4)))</formula>
    </cfRule>
    <cfRule type="containsText" dxfId="1" priority="5" operator="containsText" text="High">
      <formula>NOT(ISERROR(SEARCH("High",P4)))</formula>
    </cfRule>
    <cfRule type="containsText" dxfId="0" priority="7" operator="containsText" text="Extreme">
      <formula>NOT(ISERROR(SEARCH("Extreme",P4)))</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A959-A6AA-4698-BFFF-58B72874CCB7}">
  <dimension ref="B2:M21"/>
  <sheetViews>
    <sheetView tabSelected="1" topLeftCell="D14" zoomScale="107" workbookViewId="0">
      <selection activeCell="L21" sqref="L21"/>
    </sheetView>
  </sheetViews>
  <sheetFormatPr defaultRowHeight="13.15"/>
  <cols>
    <col min="2" max="10" width="39.5703125" customWidth="1"/>
    <col min="11" max="11" width="82.5703125" bestFit="1" customWidth="1"/>
    <col min="12" max="12" width="46.7109375" style="24" bestFit="1" customWidth="1"/>
    <col min="13" max="13" width="134.7109375" bestFit="1" customWidth="1"/>
  </cols>
  <sheetData>
    <row r="2" spans="2:13">
      <c r="B2" s="4" t="s">
        <v>107</v>
      </c>
      <c r="C2" s="8" t="s">
        <v>6</v>
      </c>
      <c r="D2" s="5" t="s">
        <v>7</v>
      </c>
      <c r="E2" s="6" t="s">
        <v>8</v>
      </c>
      <c r="F2" s="6" t="s">
        <v>9</v>
      </c>
      <c r="G2" s="6" t="s">
        <v>3</v>
      </c>
      <c r="H2" s="7" t="s">
        <v>11</v>
      </c>
      <c r="I2" s="6" t="s">
        <v>12</v>
      </c>
      <c r="J2" s="8" t="s">
        <v>13</v>
      </c>
      <c r="K2" s="4" t="s">
        <v>108</v>
      </c>
      <c r="L2" s="28" t="s">
        <v>109</v>
      </c>
    </row>
    <row r="3" spans="2:13" ht="105.6">
      <c r="B3" s="15" t="s">
        <v>110</v>
      </c>
      <c r="C3" s="16" t="s">
        <v>16</v>
      </c>
      <c r="D3" s="16">
        <v>3</v>
      </c>
      <c r="E3" s="16">
        <v>5</v>
      </c>
      <c r="F3" s="17">
        <f t="shared" ref="F3:F21" si="0">D3*E3</f>
        <v>15</v>
      </c>
      <c r="G3" s="17">
        <v>1</v>
      </c>
      <c r="H3" s="2" t="s">
        <v>111</v>
      </c>
      <c r="I3" s="2" t="s">
        <v>19</v>
      </c>
      <c r="J3" s="16" t="s">
        <v>20</v>
      </c>
      <c r="K3" s="25" t="s">
        <v>112</v>
      </c>
      <c r="L3" s="31" t="s">
        <v>113</v>
      </c>
    </row>
    <row r="4" spans="2:13" ht="145.15">
      <c r="B4" s="15" t="s">
        <v>114</v>
      </c>
      <c r="C4" s="11" t="s">
        <v>23</v>
      </c>
      <c r="D4" s="16"/>
      <c r="E4" s="16"/>
      <c r="F4" s="17"/>
      <c r="G4" s="17"/>
      <c r="H4" s="2"/>
      <c r="I4" s="2"/>
      <c r="J4" s="20" t="s">
        <v>115</v>
      </c>
      <c r="K4" s="24" t="s">
        <v>116</v>
      </c>
      <c r="L4" s="31" t="s">
        <v>117</v>
      </c>
      <c r="M4" s="1" t="s">
        <v>118</v>
      </c>
    </row>
    <row r="5" spans="2:13" ht="118.9">
      <c r="B5" s="15" t="s">
        <v>119</v>
      </c>
      <c r="C5" s="11" t="s">
        <v>23</v>
      </c>
      <c r="D5" s="16">
        <v>4</v>
      </c>
      <c r="E5" s="16">
        <v>3</v>
      </c>
      <c r="F5" s="17">
        <f t="shared" si="0"/>
        <v>12</v>
      </c>
      <c r="G5" s="17">
        <v>2</v>
      </c>
      <c r="H5" s="2" t="s">
        <v>120</v>
      </c>
      <c r="I5" s="2" t="s">
        <v>121</v>
      </c>
      <c r="J5" s="20" t="s">
        <v>115</v>
      </c>
      <c r="K5" s="25" t="s">
        <v>122</v>
      </c>
      <c r="L5" s="31" t="s">
        <v>123</v>
      </c>
    </row>
    <row r="6" spans="2:13" ht="36">
      <c r="B6" s="15" t="s">
        <v>124</v>
      </c>
      <c r="C6" s="16" t="s">
        <v>43</v>
      </c>
      <c r="D6" s="16">
        <v>3</v>
      </c>
      <c r="E6" s="16">
        <v>4</v>
      </c>
      <c r="F6" s="17">
        <f t="shared" si="0"/>
        <v>12</v>
      </c>
      <c r="G6" s="17">
        <v>3</v>
      </c>
      <c r="H6" s="2" t="s">
        <v>44</v>
      </c>
      <c r="I6" s="2" t="s">
        <v>45</v>
      </c>
      <c r="J6" s="16" t="s">
        <v>125</v>
      </c>
      <c r="K6" s="25" t="s">
        <v>126</v>
      </c>
      <c r="L6" s="66" t="s">
        <v>127</v>
      </c>
    </row>
    <row r="7" spans="2:13" s="32" customFormat="1" ht="145.15">
      <c r="B7" s="11" t="s">
        <v>128</v>
      </c>
      <c r="C7" s="11" t="s">
        <v>23</v>
      </c>
      <c r="D7" s="17">
        <v>3</v>
      </c>
      <c r="E7" s="17">
        <v>4</v>
      </c>
      <c r="F7" s="17">
        <f t="shared" si="0"/>
        <v>12</v>
      </c>
      <c r="G7" s="17">
        <v>4</v>
      </c>
      <c r="H7" s="10" t="s">
        <v>129</v>
      </c>
      <c r="I7" s="10" t="s">
        <v>35</v>
      </c>
      <c r="J7" s="21" t="s">
        <v>115</v>
      </c>
      <c r="K7" s="26" t="s">
        <v>130</v>
      </c>
      <c r="L7" s="30" t="s">
        <v>131</v>
      </c>
      <c r="M7" s="24" t="s">
        <v>132</v>
      </c>
    </row>
    <row r="8" spans="2:13" ht="79.150000000000006">
      <c r="B8" s="15" t="s">
        <v>133</v>
      </c>
      <c r="C8" s="11" t="s">
        <v>33</v>
      </c>
      <c r="D8" s="16">
        <v>3</v>
      </c>
      <c r="E8" s="16">
        <v>3</v>
      </c>
      <c r="F8" s="17">
        <f t="shared" si="0"/>
        <v>9</v>
      </c>
      <c r="G8" s="17">
        <v>5</v>
      </c>
      <c r="H8" s="2" t="s">
        <v>34</v>
      </c>
      <c r="I8" s="2" t="s">
        <v>40</v>
      </c>
      <c r="J8" s="16" t="s">
        <v>134</v>
      </c>
      <c r="K8" s="25" t="s">
        <v>135</v>
      </c>
      <c r="L8" s="1" t="s">
        <v>136</v>
      </c>
    </row>
    <row r="9" spans="2:13" ht="39.6">
      <c r="B9" s="55" t="s">
        <v>137</v>
      </c>
      <c r="C9" s="11" t="s">
        <v>48</v>
      </c>
      <c r="D9" s="17">
        <v>3</v>
      </c>
      <c r="E9" s="17">
        <v>3</v>
      </c>
      <c r="F9" s="17">
        <f t="shared" si="0"/>
        <v>9</v>
      </c>
      <c r="G9" s="17">
        <v>6</v>
      </c>
      <c r="H9" s="10" t="s">
        <v>138</v>
      </c>
      <c r="I9" s="3" t="s">
        <v>139</v>
      </c>
      <c r="J9" s="17" t="s">
        <v>125</v>
      </c>
      <c r="K9" s="27"/>
      <c r="L9" s="29"/>
    </row>
    <row r="10" spans="2:13" ht="132">
      <c r="B10" s="15" t="s">
        <v>140</v>
      </c>
      <c r="C10" s="11" t="s">
        <v>23</v>
      </c>
      <c r="D10" s="16">
        <v>2</v>
      </c>
      <c r="E10" s="16">
        <v>4</v>
      </c>
      <c r="F10" s="17">
        <f t="shared" si="0"/>
        <v>8</v>
      </c>
      <c r="G10" s="17">
        <v>7</v>
      </c>
      <c r="H10" s="2" t="s">
        <v>141</v>
      </c>
      <c r="I10" s="2" t="s">
        <v>142</v>
      </c>
      <c r="J10" s="20" t="s">
        <v>115</v>
      </c>
      <c r="K10" s="25" t="s">
        <v>143</v>
      </c>
      <c r="L10" s="30"/>
    </row>
    <row r="11" spans="2:13" ht="52.9">
      <c r="B11" s="18" t="s">
        <v>144</v>
      </c>
      <c r="C11" s="11" t="s">
        <v>48</v>
      </c>
      <c r="D11" s="17">
        <v>2</v>
      </c>
      <c r="E11" s="17">
        <v>3</v>
      </c>
      <c r="F11" s="17">
        <f t="shared" si="0"/>
        <v>6</v>
      </c>
      <c r="G11" s="17">
        <v>8</v>
      </c>
      <c r="H11" s="11" t="s">
        <v>145</v>
      </c>
      <c r="I11" s="3" t="s">
        <v>146</v>
      </c>
      <c r="J11" s="22" t="s">
        <v>115</v>
      </c>
      <c r="K11" s="27"/>
      <c r="L11" s="30"/>
    </row>
    <row r="12" spans="2:13" ht="39.6">
      <c r="B12" s="71" t="s">
        <v>147</v>
      </c>
      <c r="C12" s="11" t="s">
        <v>23</v>
      </c>
      <c r="D12" s="17">
        <v>3</v>
      </c>
      <c r="E12" s="17">
        <v>2</v>
      </c>
      <c r="F12" s="17">
        <f t="shared" si="0"/>
        <v>6</v>
      </c>
      <c r="G12" s="17">
        <v>9</v>
      </c>
      <c r="H12" s="10" t="s">
        <v>148</v>
      </c>
      <c r="I12" s="3" t="s">
        <v>149</v>
      </c>
      <c r="J12" s="22" t="s">
        <v>115</v>
      </c>
      <c r="K12" s="27"/>
      <c r="L12" s="30"/>
    </row>
    <row r="13" spans="2:13" ht="145.15">
      <c r="B13" s="15" t="s">
        <v>150</v>
      </c>
      <c r="C13" s="11" t="s">
        <v>33</v>
      </c>
      <c r="D13" s="16">
        <v>1</v>
      </c>
      <c r="E13" s="16">
        <v>5</v>
      </c>
      <c r="F13" s="17">
        <f t="shared" si="0"/>
        <v>5</v>
      </c>
      <c r="G13" s="17">
        <v>10</v>
      </c>
      <c r="H13" s="2" t="s">
        <v>39</v>
      </c>
      <c r="I13" s="2" t="s">
        <v>58</v>
      </c>
      <c r="J13" s="16" t="s">
        <v>134</v>
      </c>
      <c r="K13" s="25" t="s">
        <v>151</v>
      </c>
      <c r="L13" t="s">
        <v>152</v>
      </c>
      <c r="M13" s="1" t="s">
        <v>153</v>
      </c>
    </row>
    <row r="14" spans="2:13" ht="66">
      <c r="B14" s="11" t="s">
        <v>154</v>
      </c>
      <c r="C14" s="11" t="s">
        <v>23</v>
      </c>
      <c r="D14" s="17">
        <v>1</v>
      </c>
      <c r="E14" s="17">
        <v>5</v>
      </c>
      <c r="F14" s="17">
        <f t="shared" si="0"/>
        <v>5</v>
      </c>
      <c r="G14" s="17">
        <v>11</v>
      </c>
      <c r="H14" s="10" t="s">
        <v>155</v>
      </c>
      <c r="I14" s="3" t="s">
        <v>62</v>
      </c>
      <c r="J14" s="17" t="s">
        <v>134</v>
      </c>
      <c r="K14" s="26" t="s">
        <v>156</v>
      </c>
      <c r="L14" s="1" t="s">
        <v>157</v>
      </c>
    </row>
    <row r="15" spans="2:13" ht="79.150000000000006">
      <c r="B15" s="11" t="s">
        <v>158</v>
      </c>
      <c r="C15" s="11" t="s">
        <v>48</v>
      </c>
      <c r="D15" s="17">
        <v>1</v>
      </c>
      <c r="E15" s="17">
        <v>5</v>
      </c>
      <c r="F15" s="17">
        <f t="shared" si="0"/>
        <v>5</v>
      </c>
      <c r="G15" s="17">
        <v>12</v>
      </c>
      <c r="H15" s="10" t="s">
        <v>159</v>
      </c>
      <c r="I15" s="3" t="s">
        <v>67</v>
      </c>
      <c r="J15" s="22" t="s">
        <v>115</v>
      </c>
      <c r="K15" s="27"/>
      <c r="L15" s="30"/>
      <c r="M15" s="1" t="s">
        <v>160</v>
      </c>
    </row>
    <row r="16" spans="2:13" ht="93.6" customHeight="1">
      <c r="B16" s="11" t="s">
        <v>161</v>
      </c>
      <c r="C16" s="11" t="s">
        <v>33</v>
      </c>
      <c r="D16" s="17">
        <v>1</v>
      </c>
      <c r="E16" s="17">
        <v>5</v>
      </c>
      <c r="F16" s="17">
        <f t="shared" si="0"/>
        <v>5</v>
      </c>
      <c r="G16" s="17">
        <v>13</v>
      </c>
      <c r="H16" s="10" t="s">
        <v>155</v>
      </c>
      <c r="I16" s="3" t="s">
        <v>162</v>
      </c>
      <c r="J16" s="19" t="s">
        <v>63</v>
      </c>
      <c r="K16" s="26" t="s">
        <v>163</v>
      </c>
      <c r="L16" s="31" t="s">
        <v>164</v>
      </c>
      <c r="M16" s="1" t="s">
        <v>165</v>
      </c>
    </row>
    <row r="17" spans="2:13" ht="92.45">
      <c r="B17" s="11" t="s">
        <v>166</v>
      </c>
      <c r="C17" s="11" t="s">
        <v>48</v>
      </c>
      <c r="D17" s="17">
        <v>1</v>
      </c>
      <c r="E17" s="17">
        <v>4</v>
      </c>
      <c r="F17" s="17">
        <f t="shared" si="0"/>
        <v>4</v>
      </c>
      <c r="G17" s="17">
        <v>14</v>
      </c>
      <c r="H17" s="10" t="s">
        <v>167</v>
      </c>
      <c r="I17" s="3" t="s">
        <v>168</v>
      </c>
      <c r="J17" s="17" t="s">
        <v>134</v>
      </c>
      <c r="K17" s="26" t="s">
        <v>169</v>
      </c>
      <c r="L17" s="1" t="s">
        <v>170</v>
      </c>
      <c r="M17" s="1" t="s">
        <v>171</v>
      </c>
    </row>
    <row r="18" spans="2:13" ht="66">
      <c r="B18" s="10" t="s">
        <v>172</v>
      </c>
      <c r="C18" s="10" t="s">
        <v>33</v>
      </c>
      <c r="D18" s="13">
        <v>2</v>
      </c>
      <c r="E18" s="13">
        <v>4</v>
      </c>
      <c r="F18" s="13">
        <f t="shared" si="0"/>
        <v>8</v>
      </c>
      <c r="G18" s="13">
        <v>15</v>
      </c>
      <c r="H18" s="10" t="s">
        <v>66</v>
      </c>
      <c r="I18" s="3" t="s">
        <v>173</v>
      </c>
      <c r="J18" s="13" t="s">
        <v>20</v>
      </c>
      <c r="K18" s="34" t="s">
        <v>174</v>
      </c>
      <c r="L18" s="29"/>
    </row>
    <row r="19" spans="2:13" ht="132">
      <c r="B19" s="54" t="s">
        <v>175</v>
      </c>
      <c r="C19" s="10" t="s">
        <v>23</v>
      </c>
      <c r="D19" s="13">
        <v>1</v>
      </c>
      <c r="E19" s="13">
        <v>5</v>
      </c>
      <c r="F19" s="13">
        <f t="shared" si="0"/>
        <v>5</v>
      </c>
      <c r="G19" s="13">
        <v>16</v>
      </c>
      <c r="H19" s="10" t="s">
        <v>176</v>
      </c>
      <c r="I19" s="3" t="s">
        <v>177</v>
      </c>
      <c r="J19" s="23" t="s">
        <v>115</v>
      </c>
      <c r="K19" s="34" t="s">
        <v>178</v>
      </c>
      <c r="L19" s="30"/>
    </row>
    <row r="20" spans="2:13" ht="79.150000000000006">
      <c r="B20" s="10" t="s">
        <v>179</v>
      </c>
      <c r="C20" s="2" t="s">
        <v>16</v>
      </c>
      <c r="D20" s="13">
        <v>1</v>
      </c>
      <c r="E20" s="13">
        <v>5</v>
      </c>
      <c r="F20" s="13">
        <f t="shared" si="0"/>
        <v>5</v>
      </c>
      <c r="G20" s="13">
        <v>17</v>
      </c>
      <c r="H20" s="10" t="s">
        <v>61</v>
      </c>
      <c r="I20" s="3" t="s">
        <v>180</v>
      </c>
      <c r="J20" s="14" t="s">
        <v>63</v>
      </c>
      <c r="K20" s="34" t="s">
        <v>181</v>
      </c>
      <c r="L20" s="33" t="s">
        <v>182</v>
      </c>
    </row>
    <row r="21" spans="2:13" ht="48">
      <c r="B21" s="10" t="s">
        <v>183</v>
      </c>
      <c r="C21" s="2" t="s">
        <v>82</v>
      </c>
      <c r="D21" s="13">
        <v>1</v>
      </c>
      <c r="E21" s="13">
        <v>5</v>
      </c>
      <c r="F21" s="13">
        <f t="shared" si="0"/>
        <v>5</v>
      </c>
      <c r="G21" s="13">
        <v>18</v>
      </c>
      <c r="H21" s="12" t="s">
        <v>184</v>
      </c>
      <c r="I21" s="9" t="s">
        <v>185</v>
      </c>
      <c r="J21" s="13" t="s">
        <v>186</v>
      </c>
      <c r="K21" s="34" t="s">
        <v>187</v>
      </c>
      <c r="L21" s="29"/>
    </row>
  </sheetData>
  <autoFilter ref="J2:J21" xr:uid="{9886A959-A6AA-4698-BFFF-58B72874CCB7}"/>
  <hyperlinks>
    <hyperlink ref="L3" r:id="rId1" xr:uid="{351ADAFF-E0E6-4346-A891-2B66BDE50603}"/>
    <hyperlink ref="L20" r:id="rId2" xr:uid="{E9FDC648-0E74-4FCD-BD0A-8A44BB994E87}"/>
    <hyperlink ref="L4" r:id="rId3" display="https://ai.google.dev/gemini-api/docs/rate-limits" xr:uid="{88E0D851-F6F7-4070-B91C-A1F1ECEA42DB}"/>
    <hyperlink ref="L6" r:id="rId4" xr:uid="{CFCE6F58-371C-4B46-8B7B-BF82D7A1913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28316D73674E48A4A32DA1FFF67D96" ma:contentTypeVersion="11" ma:contentTypeDescription="Create a new document." ma:contentTypeScope="" ma:versionID="263869b64180037404db0409a5f6c489">
  <xsd:schema xmlns:xsd="http://www.w3.org/2001/XMLSchema" xmlns:xs="http://www.w3.org/2001/XMLSchema" xmlns:p="http://schemas.microsoft.com/office/2006/metadata/properties" xmlns:ns2="170dbc28-39dd-4f48-baa7-f88c2ae32a59" xmlns:ns3="99498c7a-d924-4c94-aa7b-0aeb83145634" targetNamespace="http://schemas.microsoft.com/office/2006/metadata/properties" ma:root="true" ma:fieldsID="43259eadd45a6c308ec5ca11d952f110" ns2:_="" ns3:_="">
    <xsd:import namespace="170dbc28-39dd-4f48-baa7-f88c2ae32a59"/>
    <xsd:import namespace="99498c7a-d924-4c94-aa7b-0aeb831456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0dbc28-39dd-4f48-baa7-f88c2ae32a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af8b06a-778d-4447-b55c-f8813fb4c8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498c7a-d924-4c94-aa7b-0aeb8314563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1efe90-de13-4118-bda6-c67eba8bce0d}" ma:internalName="TaxCatchAll" ma:showField="CatchAllData" ma:web="99498c7a-d924-4c94-aa7b-0aeb831456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0dbc28-39dd-4f48-baa7-f88c2ae32a59">
      <Terms xmlns="http://schemas.microsoft.com/office/infopath/2007/PartnerControls"/>
    </lcf76f155ced4ddcb4097134ff3c332f>
    <TaxCatchAll xmlns="99498c7a-d924-4c94-aa7b-0aeb83145634" xsi:nil="true"/>
  </documentManagement>
</p:properties>
</file>

<file path=customXml/itemProps1.xml><?xml version="1.0" encoding="utf-8"?>
<ds:datastoreItem xmlns:ds="http://schemas.openxmlformats.org/officeDocument/2006/customXml" ds:itemID="{E3E75DF8-8410-4C1B-8979-2EBD3BB678AB}"/>
</file>

<file path=customXml/itemProps2.xml><?xml version="1.0" encoding="utf-8"?>
<ds:datastoreItem xmlns:ds="http://schemas.openxmlformats.org/officeDocument/2006/customXml" ds:itemID="{6D2E9535-77AB-4041-B4D3-EA1CF9306676}"/>
</file>

<file path=customXml/itemProps3.xml><?xml version="1.0" encoding="utf-8"?>
<ds:datastoreItem xmlns:ds="http://schemas.openxmlformats.org/officeDocument/2006/customXml" ds:itemID="{AF7D3484-4E05-409F-9509-4B897B141968}"/>
</file>

<file path=docProps/app.xml><?xml version="1.0" encoding="utf-8"?>
<Properties xmlns="http://schemas.openxmlformats.org/officeDocument/2006/extended-properties" xmlns:vt="http://schemas.openxmlformats.org/officeDocument/2006/docPropsVTypes">
  <Application>Microsoft Excel Online</Application>
  <Manager/>
  <Company>CSC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Risk Register</dc:title>
  <dc:subject>Project Risk Register</dc:subject>
  <dc:creator>www.ProjectManagementDocs.com</dc:creator>
  <cp:keywords/>
  <dc:description/>
  <cp:lastModifiedBy>Michelle Reina Pineda</cp:lastModifiedBy>
  <cp:revision/>
  <dcterms:created xsi:type="dcterms:W3CDTF">2005-06-30T16:39:54Z</dcterms:created>
  <dcterms:modified xsi:type="dcterms:W3CDTF">2026-05-20T22:05:28Z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B8BD2B63EF874EC3AE65FE323EA51B1D_12</vt:lpwstr>
  </property>
  <property fmtid="{D5CDD505-2E9C-101B-9397-08002B2CF9AE}" pid="3" name="KSOProductBuildVer">
    <vt:lpwstr>1033-12.1.0.25830</vt:lpwstr>
  </property>
  <property fmtid="{D5CDD505-2E9C-101B-9397-08002B2CF9AE}" pid="4" name="CalculationRule">
    <vt:r8>0</vt:r8>
  </property>
  <property fmtid="{D5CDD505-2E9C-101B-9397-08002B2CF9AE}" pid="5" name="ContentTypeId">
    <vt:lpwstr>0x010100BC28316D73674E48A4A32DA1FFF67D96</vt:lpwstr>
  </property>
  <property fmtid="{D5CDD505-2E9C-101B-9397-08002B2CF9AE}" pid="6" name="MediaServiceImageTags">
    <vt:lpwstr/>
  </property>
</Properties>
</file>